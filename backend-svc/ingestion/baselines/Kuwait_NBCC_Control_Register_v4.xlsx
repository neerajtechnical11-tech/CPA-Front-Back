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ol Register v4" sheetId="1" state="visible" r:id="rId3"/>
    <sheet name="Summary" sheetId="2" state="visible" r:id="rId4"/>
  </sheets>
  <definedNames>
    <definedName function="false" hidden="true" localSheetId="0" name="_xlnm._FilterDatabase" vbProcedure="false">'Control Register v4'!$A$1:$R$72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<sst xmlns="http://schemas.openxmlformats.org/spreadsheetml/2006/main" count="1292" uniqueCount="800">
  <si>
    <t xml:space="preserve">Control ID</t>
  </si>
  <si>
    <t xml:space="preserve">Control Title</t>
  </si>
  <si>
    <t xml:space="preserve">Function / Family</t>
  </si>
  <si>
    <t xml:space="preserve">Section</t>
  </si>
  <si>
    <t xml:space="preserve">Priority</t>
  </si>
  <si>
    <t xml:space="preserve">Wave</t>
  </si>
  <si>
    <t xml:space="preserve">Tier
Applicability</t>
  </si>
  <si>
    <t xml:space="preserve">New/
Retained</t>
  </si>
  <si>
    <t xml:space="preserve">Purpose / Description</t>
  </si>
  <si>
    <t xml:space="preserve">Minimum Requirement</t>
  </si>
  <si>
    <t xml:space="preserve">Original Control Wording
(Decision No. 2 of 2026)</t>
  </si>
  <si>
    <t xml:space="preserve">NIST CSF 2.0</t>
  </si>
  <si>
    <t xml:space="preserve">ISO 27002:2022</t>
  </si>
  <si>
    <t xml:space="preserve">NCA ECC 2024</t>
  </si>
  <si>
    <t xml:space="preserve">NIST SP 800-53</t>
  </si>
  <si>
    <t xml:space="preserve">Technology Mapping
(Implementation / Compliance)</t>
  </si>
  <si>
    <t xml:space="preserve">Kuwait Vision 2035
Pillar Alignment</t>
  </si>
  <si>
    <t xml:space="preserve">CIS Controls
v8.1</t>
  </si>
  <si>
    <t xml:space="preserve">GOV-1</t>
  </si>
  <si>
    <t xml:space="preserve">Governance &amp; Accountability</t>
  </si>
  <si>
    <t xml:space="preserve">GOV — Govern</t>
  </si>
  <si>
    <t xml:space="preserve">6. Govern</t>
  </si>
  <si>
    <t xml:space="preserve">P0</t>
  </si>
  <si>
    <t xml:space="preserve">1</t>
  </si>
  <si>
    <t xml:space="preserve">All</t>
  </si>
  <si>
    <t xml:space="preserve">Retained &amp; Rephrased</t>
  </si>
  <si>
    <t xml:space="preserve">Establish clear accountability for cybersecurity at senior level.</t>
  </si>
  <si>
    <t xml:space="preserve">The Entity MUST designate a senior employee (director-level or above) with explicit accountability for cybersecurity and direct reporting access to Entity head. Define and document roles for cybersecurity, IT operations, risk management, data classification, identity management, and incident response. Review at least annually, after major incidents, or upon significant organizational change.</t>
  </si>
  <si>
    <t xml:space="preserve">The entity MUST designate an employee at manager level or above with overall responsibility for cybersecurity. Define and document roles and responsibilities for cybersecurity, IT operations, risk management, data classification, and incident response within the Entity. Review and update when significant changes occur.</t>
  </si>
  <si>
    <t xml:space="preserve">GV.OC, GV.RR</t>
  </si>
  <si>
    <t xml:space="preserve">A.5.2, A.5.4</t>
  </si>
  <si>
    <t xml:space="preserve">1-2, 1-4</t>
  </si>
  <si>
    <t xml:space="preserve">PM-2, PL-1</t>
  </si>
  <si>
    <t xml:space="preserve">Microsoft: Microsoft Purview Compliance Manager (policy &amp; compliance tracking), Microsoft 365 E5 Security (governance dashboard)
Others: ServiceNow GRC, Archer</t>
  </si>
  <si>
    <t xml:space="preserve">P1: Effective Public Administration — Accountability structures enable government restructuring and digital governance
P7: Global Positioning — Governance maturity for international partners and investors</t>
  </si>
  <si>
    <t xml:space="preserve">CIS 17.1</t>
  </si>
  <si>
    <t xml:space="preserve">GOV-2</t>
  </si>
  <si>
    <t xml:space="preserve">Policies &amp; Exception Management</t>
  </si>
  <si>
    <t xml:space="preserve">P1</t>
  </si>
  <si>
    <t xml:space="preserve">2</t>
  </si>
  <si>
    <t xml:space="preserve">Ensure decisions are guided by documented, approved rules.</t>
  </si>
  <si>
    <t xml:space="preserve">Maintain core written policies approved by senior management covering: acceptable use, secure configuration, data classification, identity and access management, cryptographic standards, network security, backup and recovery, incident response, third-party and cloud security, mobile device management, and change management. Review at least annually. Deviations MUST follow exception process with risk acceptance, compensating controls, and maximum 12-month expiry.</t>
  </si>
  <si>
    <t xml:space="preserve">Maintain core written policies that, at minimum, cover: acceptable use, Secure Configuration, data classification and handling, identity and access management, backup and recovery, incident response, and service provider/cloud security. Policies MUST be reviewed at least every two years or on significant change. Deviations must follow a documented exception process.</t>
  </si>
  <si>
    <t xml:space="preserve">GV.PO</t>
  </si>
  <si>
    <t xml:space="preserve">A.5.1</t>
  </si>
  <si>
    <t xml:space="preserve">1-3</t>
  </si>
  <si>
    <t xml:space="preserve">PL-1, PL-2</t>
  </si>
  <si>
    <t xml:space="preserve">Microsoft: Microsoft Purview Compliance Manager (policy management &amp; compliance scoring), Microsoft SharePoint (policy document management)
Others: ServiceNow Policy &amp; Compliance, Archer</t>
  </si>
  <si>
    <t xml:space="preserve">P1: Effective Public Administration — Policy frameworks enable consistent, transparent government operations
P2: Sustainable Economy — Policy maturity attracts FDI (300% target)</t>
  </si>
  <si>
    <t xml:space="preserve">CIS 17.2, 17.3</t>
  </si>
  <si>
    <t xml:space="preserve">GOV-3</t>
  </si>
  <si>
    <t xml:space="preserve">Data Classification &amp; Sovereignty</t>
  </si>
  <si>
    <t xml:space="preserve">Retained</t>
  </si>
  <si>
    <t xml:space="preserve">Ensure data is handled per sensitivity and legal requirements.</t>
  </si>
  <si>
    <t xml:space="preserve">Implement data classification aligned with National Data Classification Framework (Decision No. 1 of 2025) using at minimum Sensitive, Restricted, and Public. Tag data and systems with classification. Storing or processing Sensitive data outside Kuwait MUST receive NCSC approval.</t>
  </si>
  <si>
    <t xml:space="preserve">Implement a data classification program aligned with the National Data Classification Framework, using at least Sensitive, Restricted, and Public. Issue a Data Classification Policy approved by senior management and submitted to NCSC. Tag or label data and related systems with the appropriate classification. Storing or processing Sensitive data outside the State of Kuwait MUST receive explicit NCSC approval before use.</t>
  </si>
  <si>
    <t xml:space="preserve">GV.OC</t>
  </si>
  <si>
    <t xml:space="preserve">A.5.12, A.5.13</t>
  </si>
  <si>
    <t xml:space="preserve">1-5</t>
  </si>
  <si>
    <t xml:space="preserve">RA-2, SC-16</t>
  </si>
  <si>
    <t xml:space="preserve">Microsoft: Microsoft Purview Information Protection (data classification labels &amp; sensitivity), Microsoft Purview DLP (data loss prevention), Microsoft Purview Data Map
Others: Boldon James, Forcepoint DLP</t>
  </si>
  <si>
    <t xml:space="preserve">P1: Effective Public Administration — Data classification enables secure e-government (90% digitization target)
P3: Developed Infrastructure — Data sovereignty for national data center and cloud migration</t>
  </si>
  <si>
    <t xml:space="preserve">CIS 3.1, 3.7</t>
  </si>
  <si>
    <t xml:space="preserve">GOV-4</t>
  </si>
  <si>
    <t xml:space="preserve">Kuwaiti Workforce &amp; Vetting</t>
  </si>
  <si>
    <t xml:space="preserve">P2</t>
  </si>
  <si>
    <t xml:space="preserve">3</t>
  </si>
  <si>
    <t xml:space="preserve">Support national capacity building and reduce insider risk.</t>
  </si>
  <si>
    <t xml:space="preserve">Prioritize qualified Kuwaiti nationals for key cyber roles (SOC analysts, administrators, incident responders, security architects, identity administrators). Perform pre-employment screening for sensitive roles. Maintain register of sensitive cyber roles. Re-screen at least every 3 years or upon role change.</t>
  </si>
  <si>
    <t xml:space="preserve">For key cybersecurity roles (e.g., SOC analysts, administrators, incident responders), prioritize qualified Kuwaiti nationals where feasible. For staff in sensitive cyber roles, perform pre-employment screening including identity verification, employment history, and qualifications check.</t>
  </si>
  <si>
    <t xml:space="preserve">GV.RR</t>
  </si>
  <si>
    <t xml:space="preserve">A.6.1</t>
  </si>
  <si>
    <t xml:space="preserve">1-4</t>
  </si>
  <si>
    <t xml:space="preserve">PS-2 to PS-5</t>
  </si>
  <si>
    <t xml:space="preserve">Microsoft: Microsoft Entra ID Governance (role certification &amp; access reviews)
Others: SailPoint IdentityNow, First Advantage (background screening)</t>
  </si>
  <si>
    <t xml:space="preserve">P6: Creative Human Capital — Directly supports Kuwaitization and workforce development
P1: Effective Public Administration — Qualified nationals in cyber roles build sovereign capability</t>
  </si>
  <si>
    <t xml:space="preserve">CIS 17.5</t>
  </si>
  <si>
    <t xml:space="preserve">GOV-5</t>
  </si>
  <si>
    <t xml:space="preserve">Self-Assessment &amp; Continuous Improvement</t>
  </si>
  <si>
    <t xml:space="preserve">Measure implementation and drive improvement.</t>
  </si>
  <si>
    <t xml:space="preserve">Complete self-assessment at least annually (quarterly for Tier 1) using NCSC-issued tools. Document results, gaps, actions, owners, and target dates. Retain records 3 years. Use incidents, audits, threat intelligence, and organizational changes to reprioritize.</t>
  </si>
  <si>
    <t xml:space="preserve">At least once per year, complete a self-assessment against this baseline using an NCSC-issued or NCSC approved tool or template. Document results, identified gaps, and remediation actions with target dates. Retain assessment records for at least three years. Use results and lessons from incidents, audits, and organizational changes to reprioritize compliance activities.</t>
  </si>
  <si>
    <t xml:space="preserve">GV.RM</t>
  </si>
  <si>
    <t xml:space="preserve">A.5.35, A.5.36</t>
  </si>
  <si>
    <t xml:space="preserve">1-6</t>
  </si>
  <si>
    <t xml:space="preserve">CA-2, CA-7</t>
  </si>
  <si>
    <t xml:space="preserve">Microsoft: Microsoft Purview Compliance Manager (self-assessment scoring), Microsoft Secure Score (security posture measurement)
Others: ServiceNow GRC, Qualys Policy Compliance</t>
  </si>
  <si>
    <t xml:space="preserve">P1: Effective Public Administration — Continuous improvement aligned with Vision 2035 KPI tracking
P7: Global Positioning — Assessment maturity supports global competitiveness rankings</t>
  </si>
  <si>
    <t xml:space="preserve">CIS 17.6, 17.9</t>
  </si>
  <si>
    <t xml:space="preserve">GOV-6</t>
  </si>
  <si>
    <t xml:space="preserve">Service Provider &amp; Outsourcing Governance</t>
  </si>
  <si>
    <t xml:space="preserve">Manage cybersecurity risk from external providers.</t>
  </si>
  <si>
    <t xml:space="preserve">Maintain inventory of all service providers with classification, criticality, data sensitivity, and Entity contact. For providers handling Sensitive data: document shared responsibilities, define incident reporting mechanisms, include right-to-audit or third-party assurance, ensure offboarding includes access revocation and data return/destruction. Review at least annually.</t>
  </si>
  <si>
    <t xml:space="preserve">Establish and maintain an inventory of service providers (including cloud/managed services), including classification and Entity contact. For providers handling Sensitive data or critical services, document: service scope and shared security responsibilities, incident reporting timeframes and mechanisms, and offboarding procedures.</t>
  </si>
  <si>
    <t xml:space="preserve">GV.SC</t>
  </si>
  <si>
    <t xml:space="preserve">A.5.19–A.5.23</t>
  </si>
  <si>
    <t xml:space="preserve">4-1</t>
  </si>
  <si>
    <t xml:space="preserve">SA-4, SA-9, SR</t>
  </si>
  <si>
    <t xml:space="preserve">Microsoft: Microsoft Defender for Cloud Apps (shadow IT &amp; SaaS discovery), Microsoft Purview Compliance Manager (third-party risk)
★ Lineaje: Third-Party Risk Manager — assess vendor software supply chain risk via SBOM analysis
Others: ServiceNow VRM, OneTrust, BitSight</t>
  </si>
  <si>
    <t xml:space="preserve">P2: Sustainable Economy — Secure vendor governance enables PPP partnerships
P3: Developed Infrastructure — Protects smart city and mega-project supply chains (Silk City, South Saad Al-Abdullah)</t>
  </si>
  <si>
    <t xml:space="preserve">CIS 15.1, 15.2, 15.4</t>
  </si>
  <si>
    <t xml:space="preserve">GOV-7</t>
  </si>
  <si>
    <t xml:space="preserve">Software Supply Chain Security</t>
  </si>
  <si>
    <t xml:space="preserve">Tier 1, 2</t>
  </si>
  <si>
    <t xml:space="preserve">New</t>
  </si>
  <si>
    <t xml:space="preserve">Protect against compromised software components.</t>
  </si>
  <si>
    <t xml:space="preserve">Verify software integrity before deployment (digital signatures, trusted repositories). Critical applications MUST maintain SBOM. Automatic updates from verified sources only. Monitor for known vulnerabilities in third-party components.</t>
  </si>
  <si>
    <t xml:space="preserve">A.5.19, A.8.28</t>
  </si>
  <si>
    <t xml:space="preserve">SA-8, SR-3, SR-4</t>
  </si>
  <si>
    <t xml:space="preserve">Microsoft: Microsoft Defender for Cloud (supply chain security via GitHub Advanced Security integration), Azure DevOps (secure pipeline)
★ Lineaje: SBOM360 — full-lifecycle software supply chain security, SBOM generation, vulnerability detection in open-source components, regulatory compliance
Others: Snyk, Sonatype Nexus, Black Duck</t>
  </si>
  <si>
    <t xml:space="preserve">P3: Developed Infrastructure — Software integrity critical for smart city, IoT, and e-government
P2: Sustainable Economy — Protects digital innovation ecosystem and startup tech stacks</t>
  </si>
  <si>
    <t xml:space="preserve">CIS 16.1, 16.4, 16.12</t>
  </si>
  <si>
    <t xml:space="preserve">GOV-8</t>
  </si>
  <si>
    <t xml:space="preserve">Personal Data Protection &amp; Privacy</t>
  </si>
  <si>
    <t xml:space="preserve">Proactively address privacy obligations.</t>
  </si>
  <si>
    <t xml:space="preserve">Entities processing personal data MUST inventory such data, define lawful basis, implement proportional controls, and designate a contact for data subject inquiries. Data breach notification to affected individuals and authorities within applicable timelines.</t>
  </si>
  <si>
    <t xml:space="preserve">A.5.34</t>
  </si>
  <si>
    <t xml:space="preserve">DCC ref</t>
  </si>
  <si>
    <t xml:space="preserve">PT-1 to PT-8</t>
  </si>
  <si>
    <t xml:space="preserve">Microsoft: Microsoft Priva Risk Management (privacy risk identification), Microsoft Priva Subject Rights Requests (data subject handling), Microsoft Purview Data Lifecycle Management
Others: OneTrust, TrustArc, BigID</t>
  </si>
  <si>
    <t xml:space="preserve">P7: Global Positioning — Privacy alignment with international standards enables trade and investment
P1: Effective Public Administration — Citizen data protection builds digital trust for e-government</t>
  </si>
  <si>
    <t xml:space="preserve">CIS 3.1, 3.12</t>
  </si>
  <si>
    <t xml:space="preserve">ID-1</t>
  </si>
  <si>
    <t xml:space="preserve">Hardware Asset &amp; Service Inventory</t>
  </si>
  <si>
    <t xml:space="preserve">ID — Identify</t>
  </si>
  <si>
    <t xml:space="preserve">7. Identify</t>
  </si>
  <si>
    <t xml:space="preserve">Maintain up-to-date view of hardware assets.</t>
  </si>
  <si>
    <t xml:space="preserve">Maintain central electronic inventory of all hardware assets (servers, workstations, laptops, mobile devices, network equipment, IoT/OT, VMs) and key services. Record: owner, department, location, purpose, IP/MAC, criticality, data classification, lifecycle state. Use machine-readable labels for physical assets. Weekly automated network discovery; remediate unauthorized devices within 5 business days.</t>
  </si>
  <si>
    <t xml:space="preserve">Maintain a central electronic inventory of hardware assets (servers, workstations, laptops, network equipment, IoT/OT devices) and key on-premises services. Record at minimum: owner, location, purpose, and criticality level. For physical assets, use unique machine-readable labels where feasible. At least weekly, review network discovery results to identify unauthorized devices; remove, quarantine, or formally approve.</t>
  </si>
  <si>
    <t xml:space="preserve">ID.AM</t>
  </si>
  <si>
    <t xml:space="preserve">A.5.9, A.5.10</t>
  </si>
  <si>
    <t xml:space="preserve">2-1</t>
  </si>
  <si>
    <t xml:space="preserve">CM-8, PM-5</t>
  </si>
  <si>
    <t xml:space="preserve">Microsoft: Microsoft Defender for Endpoint (device inventory), Microsoft Intune (managed device inventory), Microsoft Defender for IoT (OT/IoT asset discovery)
★ Nozomi Networks: Guardian — OT/IoT/ICS asset discovery and inventory for industrial environments (Gartner MQ Leader for CPS Protection)
Others: Qualys CMDB, ServiceNow ITAM, Forescout</t>
  </si>
  <si>
    <t xml:space="preserve">P3: Developed Infrastructure — Asset visibility for $193B infrastructure pipeline and smart city projects
P1: Effective Public Administration — Inventory for 33,000+ government sites on national intranet</t>
  </si>
  <si>
    <t xml:space="preserve">CIS 1.1, 1.2, 1.3, 1.4, 1.5</t>
  </si>
  <si>
    <t xml:space="preserve">ID-2</t>
  </si>
  <si>
    <t xml:space="preserve">Software &amp; SaaS Inventory</t>
  </si>
  <si>
    <t xml:space="preserve">Know what software is in use and its support status.</t>
  </si>
  <si>
    <t xml:space="preserve">Maintain authoritative list of approved software (version, vendor, support status) and cloud/SaaS services. Monthly automated detection of unauthorized software; remediate within 10 business days. Track end-of-life/end-of-support — unsupported software MUST be replaced, isolated, or covered by documented exception. Review SaaS annually.</t>
  </si>
  <si>
    <t xml:space="preserve">Maintain a list of authorized software (including version families) and service providers (including cloud and SaaS services). At least monthly, review systems for unauthorized software and remove it or record a documented exception.</t>
  </si>
  <si>
    <t xml:space="preserve">A.5.9, A.5.11</t>
  </si>
  <si>
    <t xml:space="preserve">CM-8, SA-22</t>
  </si>
  <si>
    <t xml:space="preserve">Microsoft: Microsoft Defender for Cloud Apps (SaaS discovery &amp; shadow IT), Microsoft Intune (software inventory), Microsoft Defender Vulnerability Management (software catalog)
Others: ServiceNow SAM, Flexera, Snow Software</t>
  </si>
  <si>
    <t xml:space="preserve">P3: Developed Infrastructure — Software inventory secures national data center, cloud, 5G/IoT
P2: Sustainable Economy — SaaS governance for digital economy ($22.5B→$39.8B ICT market)</t>
  </si>
  <si>
    <t xml:space="preserve">CIS 2.1, 2.2, 2.3, 2.5</t>
  </si>
  <si>
    <t xml:space="preserve">ID-3</t>
  </si>
  <si>
    <t xml:space="preserve">Data &amp; Account Inventory</t>
  </si>
  <si>
    <t xml:space="preserve">Understand what data and accounts exist.</t>
  </si>
  <si>
    <t xml:space="preserve">Inventory of critical/sensitive data sets (classification, location, owner, retention). Inventory of all user, admin, and service accounts (privilege level, system, last activity). Disable dormant accounts unused for 45 days. Review service accounts quarterly. Flag privileged and service accounts for enhanced monitoring.</t>
  </si>
  <si>
    <t xml:space="preserve">Maintain an inventory of critical and sensitive data sets, including classification, location, and business owner. Maintain an inventory of accounts: privileged, user, and service accounts, with privilege level and assigned system noted. Disable or remove dormant accounts that have been inactive for 90 days.</t>
  </si>
  <si>
    <t xml:space="preserve">A.5.12, A.5.14</t>
  </si>
  <si>
    <t xml:space="preserve">2-1, 2-2</t>
  </si>
  <si>
    <t xml:space="preserve">AC-2, CM-8</t>
  </si>
  <si>
    <t xml:space="preserve">Microsoft: Microsoft Entra ID (user/admin/service account inventory), Microsoft Entra ID Governance (access reviews, dormant account detection), Microsoft Entra Permissions Management (privilege visibility)
Others: SailPoint IdentityNow, CyberArk</t>
  </si>
  <si>
    <t xml:space="preserve">P1: Effective Public Administration — Account governance for 90% government digitization
P6: Creative Human Capital — Identity lifecycle supports workforce mobility across entities</t>
  </si>
  <si>
    <t xml:space="preserve">CIS 3.1, 5.1, 5.3</t>
  </si>
  <si>
    <t xml:space="preserve">ID-4</t>
  </si>
  <si>
    <t xml:space="preserve">Attack Surface Discovery</t>
  </si>
  <si>
    <t xml:space="preserve">Know what is internet-facing before attackers do.</t>
  </si>
  <si>
    <t xml:space="preserve">Conduct periodic external attack surface discovery (quarterly Tier 1, semi-annually Tier 2). Reconcile against authorized inventory. Remove or secure unauthorized internet-facing services within 48 hours (Tier 1) or 5 business days (Tier 2/3).</t>
  </si>
  <si>
    <t xml:space="preserve">ID.RA</t>
  </si>
  <si>
    <t xml:space="preserve">A.8.8</t>
  </si>
  <si>
    <t xml:space="preserve">2-5</t>
  </si>
  <si>
    <t xml:space="preserve">RA-5, CM-8</t>
  </si>
  <si>
    <t xml:space="preserve">Microsoft: Microsoft Defender External Attack Surface Management (EASM) — discovers internet-facing assets, shadow IT, and exposure
Others: CrowdStrike Falcon Surface, Mandiant ASM, Qualys</t>
  </si>
  <si>
    <t xml:space="preserve">P3: Developed Infrastructure — Attack surface discovery protects e-government and smart city platforms
P7: Global Positioning — Proactive posture demonstrates maturity internationally</t>
  </si>
  <si>
    <t xml:space="preserve">CIS 7.7, 12.1</t>
  </si>
  <si>
    <t xml:space="preserve">PR-1.1</t>
  </si>
  <si>
    <t xml:space="preserve">Secure Configuration &amp; Hardening</t>
  </si>
  <si>
    <t xml:space="preserve">PR — Protect</t>
  </si>
  <si>
    <t xml:space="preserve">8.1 Config &amp; Network</t>
  </si>
  <si>
    <t xml:space="preserve">Reduce the attack surface of systems and devices.</t>
  </si>
  <si>
    <t xml:space="preserve">Establish hardened configuration baselines for all servers, workstations, network devices, databases, and key applications based on CIS Benchmarks. Disable unnecessary services, ports, protocols. Change/disable defaults. Enable host-based firewall. Maintain golden images. Review at least annually, after changes, and after vendor advisories.</t>
  </si>
  <si>
    <t xml:space="preserve">Establish hardened configuration baselines for servers, workstations, network devices, and key applications. From baseline: disable or remove unnecessary services, features, and ports; change or disable all default accounts and default passwords. Enable host-based firewall on all endpoints and servers, permitting only required traffic. Review configurations at least annually or after major changes.</t>
  </si>
  <si>
    <t xml:space="preserve">PR.PS</t>
  </si>
  <si>
    <t xml:space="preserve">A.8.9</t>
  </si>
  <si>
    <t xml:space="preserve">2-3</t>
  </si>
  <si>
    <t xml:space="preserve">CM-6, CM-7</t>
  </si>
  <si>
    <t xml:space="preserve">Microsoft: Microsoft Defender for Endpoint (security baselines), Microsoft Intune (device configuration profiles &amp; compliance policies), Azure Policy (cloud config enforcement)
Others: Qualys Policy Compliance, CIS-CAT Pro, Ansible</t>
  </si>
  <si>
    <t xml:space="preserve">P3: Developed Infrastructure — Hardened configs for national data center, 5G, and cloud
P1: Effective Public Administration — Secure baselines for 33,000+ government sites</t>
  </si>
  <si>
    <t xml:space="preserve">CIS 4.1, 4.2, 4.6, 4.7</t>
  </si>
  <si>
    <t xml:space="preserve">PR-1.2</t>
  </si>
  <si>
    <t xml:space="preserve">Network Segmentation &amp; Zero Trust</t>
  </si>
  <si>
    <t xml:space="preserve">Rephrased</t>
  </si>
  <si>
    <t xml:space="preserve">Limit spread and impact of attacks.</t>
  </si>
  <si>
    <t xml:space="preserve">Segment networks: user, server/data, management/admin, OT/ICS (where applicable), DMZ, guest. Management interfaces MUST NOT be directly accessible from user or internet. All access explicitly authorized, authenticated (MFA for admin), and logged. Do not treat network location alone as trust. Document architecture; review annually.</t>
  </si>
  <si>
    <t xml:space="preserve">Segment networks to separate, at minimum: user networks from server/data networks, management interfaces from user and internet-facing networks. Place internet-facing systems in a controlled DMZ. Where feasible, separate OT/ICS networks from IT networks. Access between segments must be explicitly authorized, authenticated (consistent with PR-2, including MFA for admin access), and logged. Do not treat network location as the sole basis for trust.</t>
  </si>
  <si>
    <t xml:space="preserve">PR.PS, PR.AC</t>
  </si>
  <si>
    <t xml:space="preserve">A.8.22</t>
  </si>
  <si>
    <t xml:space="preserve">SC-7, AC-4</t>
  </si>
  <si>
    <t xml:space="preserve">Microsoft: Azure Firewall (network segmentation), Azure NSG/ASG (micro-segmentation), Microsoft Entra Private Access (ZTNA), Microsoft Entra Internet Access (SWG)
★ Dope Security: Endpoint-native SWG — enforces web access policies per segment, Fly-Direct architecture, 4x faster than legacy SWGs
Others: Palo Alto Networks, Fortinet, Cisco ISE, Illumio</t>
  </si>
  <si>
    <t xml:space="preserve">P3: Developed Infrastructure — Segmentation for smart city IoT, OT/ICS, converged infra
P5: High Quality Healthcare — Segments protect healthcare systems</t>
  </si>
  <si>
    <t xml:space="preserve">CIS 12.2, 12.3, 12.4, 12.7</t>
  </si>
  <si>
    <t xml:space="preserve">PR-1.3</t>
  </si>
  <si>
    <t xml:space="preserve">Vulnerability Management &amp; Patching</t>
  </si>
  <si>
    <t xml:space="preserve">Identify and address technical weaknesses.</t>
  </si>
  <si>
    <t xml:space="preserve">Documented vulnerability management process. Automated scans: weekly (internet-facing), monthly (internal critical), quarterly (others), after major changes. Remediate critical/high: 14 days (internet-facing), 30 days (internal critical), 90 days (others). Patch OS/apps monthly. Track compliance rates. Isolate and document unsupported systems.</t>
  </si>
  <si>
    <t xml:space="preserve">Maintain a documented vulnerability management process. Run automated vulnerability scans at least monthly for internet-facing systems, and quarterly for internal systems. Prioritize and remediate critical and high-severity vulnerabilities. Apply security patches to operating systems and applications at least monthly where supported.</t>
  </si>
  <si>
    <t xml:space="preserve">SI-2, RA-5</t>
  </si>
  <si>
    <t xml:space="preserve">Microsoft: Microsoft Defender Vulnerability Management (vuln scanning, prioritization, remediation tracking), Microsoft Intune (OS/app patching), Windows Update for Business
★ Lineaje: SCA360 — continuous vulnerability detection across software dependencies and open-source components with AI-driven remediation
Others: Qualys VMDR, Tenable, Ivanti</t>
  </si>
  <si>
    <t xml:space="preserve">P3: Developed Infrastructure — Patching protects $193B project pipeline and smart city
P2: Sustainable Economy — Vulnerability mgmt protects financial and digital commerce</t>
  </si>
  <si>
    <t xml:space="preserve">CIS 7.1, 7.2, 7.3, 7.4</t>
  </si>
  <si>
    <t xml:space="preserve">PR-2.1</t>
  </si>
  <si>
    <t xml:space="preserve">Identity, Authentication &amp; Access Control</t>
  </si>
  <si>
    <t xml:space="preserve">PR — Protect (IAM)</t>
  </si>
  <si>
    <t xml:space="preserve">8.2 Identity &amp; Access</t>
  </si>
  <si>
    <t xml:space="preserve">Ensure access is properly controlled and accounts are harder to compromise.</t>
  </si>
  <si>
    <t xml:space="preserve">Unique credentials for all accounts. Minimum 8 chars with MFA, 14 without. No forced rotation unless compromised. Session lock 15 min (workstations), 2 min (mobile). MFA mandatory for: remote access, internet-facing apps, privileged accounts, cloud consoles, Sensitive data systems. Phishing-resistant MFA (FIDO2) for Tier 1 admin accounts. Dedicated admin accounts; standard accounts for daily work.</t>
  </si>
  <si>
    <t xml:space="preserve">Require unique passwords for all accounts; do not reuse the same password across different systems. As a simple baseline: Enforce a minimum password length of 8 characters when multi-factor authentication is in use; enforce a minimum length of 14 characters when MFA is not in use. Do not force periodic password changes unless compromise is suspected. Enforce session lock after 15 minutes of inactivity for workstations; 2 minutes for mobile devices. Enforce multi-factor authentication (MFA) for all remote access and all privileged/administrative accounts. Limit administrative privileges to dedicated admin accounts; do not use admin accounts for daily activities such as email or web browsing.</t>
  </si>
  <si>
    <t xml:space="preserve">PR.AA</t>
  </si>
  <si>
    <t xml:space="preserve">A.5.15–A.5.18, A.8.5</t>
  </si>
  <si>
    <t xml:space="preserve">2-2</t>
  </si>
  <si>
    <t xml:space="preserve">AC-2 to AC-7, IA</t>
  </si>
  <si>
    <t xml:space="preserve">Microsoft: Microsoft Entra ID (MFA, Conditional Access, passwordless), Microsoft Entra ID Protection (risk-based authentication), Windows Hello for Business (FIDO2)
★ Callsign: AI-driven behavioral biometrics + adaptive MFA — phishing-resistant via keystroke dynamics, swipe patterns, device intelligence. 99.999% recognition accuracy. Delivers 2FA/3FA from single interaction
Others: Cisco Duo, Thales SafeNet, YubiKey</t>
  </si>
  <si>
    <t xml:space="preserve">P1: Effective Public Administration — MFA for digital services protects citizen data
P3: Developed Infrastructure — Identity as perimeter for Zero Trust (CAIT/NCSC/Microsoft)</t>
  </si>
  <si>
    <t xml:space="preserve">CIS 5.2, 5.4, 6.3, 6.4, 6.5</t>
  </si>
  <si>
    <t xml:space="preserve">PR-2.2</t>
  </si>
  <si>
    <t xml:space="preserve">Corporate Email Only</t>
  </si>
  <si>
    <t xml:space="preserve">Prevent data leakage via personal email.</t>
  </si>
  <si>
    <t xml:space="preserve">All business communications via Entity-approved corporate email only. Personal email MUST NOT be on corporate devices or used for work. Enforce via policy and device configuration.</t>
  </si>
  <si>
    <t xml:space="preserve">Require that all official business communications use only Entity-approved corporate email accounts on approved domains. Personal/consumer email accounts MUST NOT be configured on Entity-managed devices and MUST NOT be used for official work communications.</t>
  </si>
  <si>
    <t xml:space="preserve">PR.DS</t>
  </si>
  <si>
    <t xml:space="preserve">A.5.10, A.8.1</t>
  </si>
  <si>
    <t xml:space="preserve">2-6</t>
  </si>
  <si>
    <t xml:space="preserve">AC-20</t>
  </si>
  <si>
    <t xml:space="preserve">Microsoft: Microsoft 365 Admin Center (email policies), Microsoft Intune (device email profile management), Exchange Online Protection
Others: Google Workspace admin policies</t>
  </si>
  <si>
    <t xml:space="preserve">P1: Effective Public Administration — Email discipline prevents data leakage across gov
P4: Sustainable Living Environment — Protects citizen-government communications</t>
  </si>
  <si>
    <t xml:space="preserve">CIS 5.6</t>
  </si>
  <si>
    <t xml:space="preserve">PR-2.3</t>
  </si>
  <si>
    <t xml:space="preserve">Password Manager &amp; Credential Hygiene</t>
  </si>
  <si>
    <t xml:space="preserve">Maintain strong, unique passwords.</t>
  </si>
  <si>
    <t xml:space="preserve">Enterprise password manager provided. Unique generated passwords per system. Shared vaults with audit logging for team accounts. Credential reuse prohibited. Privileged credentials in PAM or hardened vault with break-glass procedures.</t>
  </si>
  <si>
    <t xml:space="preserve">Provide an approved enterprise password manager for staff managing multiple credentials. For shared/team accounts (where shared accounts are unavoidable), use shared vaults with audit logging — NEVER share passwords via email, chat, or on paper.</t>
  </si>
  <si>
    <t xml:space="preserve">A.5.17</t>
  </si>
  <si>
    <t xml:space="preserve">IA-5</t>
  </si>
  <si>
    <t xml:space="preserve">Microsoft: Microsoft Entra ID (credential management), Azure Key Vault (secrets &amp; keys)
Others: CyberArk EPV, 1Password Business, Keeper Enterprise</t>
  </si>
  <si>
    <t xml:space="preserve">P1: Effective Public Administration — Credential hygiene across 33,000+ sites
P2: Sustainable Economy — Protects financial sector credentials</t>
  </si>
  <si>
    <t xml:space="preserve">CIS 5.2</t>
  </si>
  <si>
    <t xml:space="preserve">PR-2.4</t>
  </si>
  <si>
    <t xml:space="preserve">Secure Remote Access</t>
  </si>
  <si>
    <t xml:space="preserve">Prevent unauthorized remote entry.</t>
  </si>
  <si>
    <t xml:space="preserve">All remote access via Entity-controlled gateway (VPN, ZTNA, identity-aware proxy). Direct RDP/SSH/SMB/database exposure to internet prohibited. Log sessions with identity, source, timestamp, duration. Split-tunneling disabled unless approved. MFA required.</t>
  </si>
  <si>
    <t xml:space="preserve">PR.AA, PR.PS</t>
  </si>
  <si>
    <t xml:space="preserve">A.8.20</t>
  </si>
  <si>
    <t xml:space="preserve">AC-17, SC-7</t>
  </si>
  <si>
    <t xml:space="preserve">Microsoft: Microsoft Entra Private Access (ZTNA — replaces VPN), Microsoft Entra Internet Access (secure web gateway), Azure Bastion (bastion host for RDP/SSH)
Others: Palo Alto Prisma Access, Zscaler Private Access, Fortinet FortiSASE</t>
  </si>
  <si>
    <t xml:space="preserve">P1: Effective Public Administration — Secure remote access enables gov workforce flexibility
P3: Developed Infrastructure — Remote management of smart city and critical infra</t>
  </si>
  <si>
    <t xml:space="preserve">CIS 12.6, 12.7</t>
  </si>
  <si>
    <t xml:space="preserve">PR-2.5</t>
  </si>
  <si>
    <t xml:space="preserve">Conditional &amp; Risk-Based Access</t>
  </si>
  <si>
    <t xml:space="preserve">Dynamic access decisions based on risk signals.</t>
  </si>
  <si>
    <t xml:space="preserve">For cloud and critical apps, implement conditional access evaluating device compliance, location, risk score, authentication strength. Restrict unmanaged device access to Sensitive data. Trigger step-up authentication for anomalous patterns.</t>
  </si>
  <si>
    <t xml:space="preserve">A.8.5</t>
  </si>
  <si>
    <t xml:space="preserve">AC-7, IA-10</t>
  </si>
  <si>
    <t xml:space="preserve">Microsoft: Microsoft Entra Conditional Access (device compliance, location, risk-based policies), Microsoft Entra ID Protection (risk scoring), Microsoft Entra Internet Access (network-level context)
★ Callsign: Intelligence Engine — real-time risk-based access decisions using behavioral biometrics, device intelligence, location analytics. Dynamic step-up authentication for anomalous patterns
Others: Okta Adaptive MFA, Ping Identity</t>
  </si>
  <si>
    <t xml:space="preserve">P3: Developed Infrastructure — Risk-based access for cloud digital transformation
P7: Global Positioning — Zero Trust maturity demonstration</t>
  </si>
  <si>
    <t xml:space="preserve">CIS 6.3, 6.5</t>
  </si>
  <si>
    <t xml:space="preserve">PR-2.6</t>
  </si>
  <si>
    <t xml:space="preserve">Identity Lifecycle Management</t>
  </si>
  <si>
    <t xml:space="preserve">Govern identity creation, modification, and removal.</t>
  </si>
  <si>
    <t xml:space="preserve">Formal lifecycle processes: provisioning (approval-based, role-linked), modification (on role change), deprovisioning (within 24 hours of termination, 48 hours of role change). Privileged access requires documented owner + cybersecurity approval. Orphaned accounts disabled within 30 days.</t>
  </si>
  <si>
    <t xml:space="preserve">A.5.16, A.5.18</t>
  </si>
  <si>
    <t xml:space="preserve">AC-2, PS-4</t>
  </si>
  <si>
    <t xml:space="preserve">Microsoft: Microsoft Entra ID Governance (lifecycle workflows: joiner/mover/leaver automation, access reviews, entitlement management), Microsoft Entra ID (provisioning connectors)
Others: SailPoint IdentityNow, Saviynt</t>
  </si>
  <si>
    <t xml:space="preserve">P1: Effective Public Administration — Identity lifecycle for restructured government bodies
P6: Creative Human Capital — Workforce mobility as roles evolve under Vision 2035</t>
  </si>
  <si>
    <t xml:space="preserve">CIS 5.1, 5.3, 5.5</t>
  </si>
  <si>
    <t xml:space="preserve">PR-2.7</t>
  </si>
  <si>
    <t xml:space="preserve">Privileged Access Management</t>
  </si>
  <si>
    <t xml:space="preserve">Protect and monitor the most powerful accounts.</t>
  </si>
  <si>
    <t xml:space="preserve">All privileged accounts inventoried, individually assigned, enhanced monitoring. Privileged sessions on critical systems logged with forensic detail. Minimize standing privileges — implement JIT elevation for Tier 1. Default admin/root secured with break-glass.</t>
  </si>
  <si>
    <t xml:space="preserve">A.5.15, A.8.2</t>
  </si>
  <si>
    <t xml:space="preserve">AC-6, AU-12</t>
  </si>
  <si>
    <t xml:space="preserve">Microsoft: Microsoft Entra Privileged Identity Management (PIM) — just-in-time (JIT) privileged access, time-bound elevation, approval workflows, audit trails. Microsoft Entra ID Governance (privileged access reviews)
Others: CyberArk PAM, BeyondTrust, Delinea</t>
  </si>
  <si>
    <t xml:space="preserve">P1: Effective Public Administration — PAM protects critical government systems
P3: Developed Infrastructure — Privileged access for energy, water, smart city controls</t>
  </si>
  <si>
    <t xml:space="preserve">CIS 5.4, 6.8</t>
  </si>
  <si>
    <t xml:space="preserve">PR-2.8</t>
  </si>
  <si>
    <t xml:space="preserve">Service Account &amp; Non-Human Identity Governance</t>
  </si>
  <si>
    <t xml:space="preserve">Govern machine identities and API keys.</t>
  </si>
  <si>
    <t xml:space="preserve">Inventory all service accounts, API keys, machine identities with owners and purpose. No interactive login. Rotate credentials annually or use automated federation. Disable unused within 30 days. Least privilege enforced.</t>
  </si>
  <si>
    <t xml:space="preserve">A.5.16</t>
  </si>
  <si>
    <t xml:space="preserve">IA-4, IA-5</t>
  </si>
  <si>
    <t xml:space="preserve">Microsoft: Microsoft Entra Workload ID (workload identity federation for service principals/managed identities), Azure Key Vault (secrets rotation), Microsoft Entra Permissions Management (least privilege for non-human identities)
Others: HashiCorp Vault, CyberArk Conjur, Silverfort</t>
  </si>
  <si>
    <t xml:space="preserve">P3: Developed Infrastructure — Non-human identity for IoT, smart city automation
P2: Sustainable Economy — Service account security for digital platforms and APIs</t>
  </si>
  <si>
    <t xml:space="preserve">CIS 5.3, 5.5</t>
  </si>
  <si>
    <t xml:space="preserve">PR-2.9</t>
  </si>
  <si>
    <t xml:space="preserve">Directory &amp; Identity Infrastructure Security</t>
  </si>
  <si>
    <t xml:space="preserve">Protect the foundation of authentication and authorization.</t>
  </si>
  <si>
    <t xml:space="preserve">Identity infrastructure (AD, Azure AD, LDAP, PKI) classified as critical systems. Hardened per CIS benchmarks. Monitor for identity attacks (Kerberoasting, DCSync, token theft). Patch within 14 days for critical vulns. Tier 1 MUST implement tiered administration.</t>
  </si>
  <si>
    <t xml:space="preserve">PR.PS, DE.CM</t>
  </si>
  <si>
    <t xml:space="preserve">2-3, 2-11</t>
  </si>
  <si>
    <t xml:space="preserve">AC-2, SI-4</t>
  </si>
  <si>
    <t xml:space="preserve">Microsoft: Microsoft Defender for Identity (AD threat detection — Kerberoasting, DCSync, lateral movement), Microsoft Entra ID Protection, Microsoft Entra Connect Health (hybrid AD monitoring)
Others: Semperis, CrowdStrike Falcon Identity, PingCastle</t>
  </si>
  <si>
    <t xml:space="preserve">P1: Effective Public Administration — AD/directory is backbone of government digital identity
P3: Developed Infrastructure — Identity infra security for Zero Trust (CAIT/NCSC/MS)</t>
  </si>
  <si>
    <t xml:space="preserve">CIS 4.1, 5.4</t>
  </si>
  <si>
    <t xml:space="preserve">PR-3.1</t>
  </si>
  <si>
    <t xml:space="preserve">Security Awareness &amp; Training</t>
  </si>
  <si>
    <t xml:space="preserve">8.3 Awareness</t>
  </si>
  <si>
    <t xml:space="preserve">Build a culture of secure behavior.</t>
  </si>
  <si>
    <t xml:space="preserve">Mandatory training annually and within 30 days for new joiners. Cover: phishing (with simulated exercises quarterly Tier 1, semi-annually others), email/web safety, data handling, MFA hygiene, approved tools, media risks, reporting incidents, identity security. Role-specific training for IT, developers, and cyber staff. Track completion.</t>
  </si>
  <si>
    <t xml:space="preserve">Establish a security awareness program and provide training at least annually and for new joiners. At minimum, cover: social engineering and phishing, safe use of email and web, handling of Sensitive and Restricted data, password hygiene, approved communication tools, and reporting suspicious activity.</t>
  </si>
  <si>
    <t xml:space="preserve">PR.AT</t>
  </si>
  <si>
    <t xml:space="preserve">A.6.3</t>
  </si>
  <si>
    <t xml:space="preserve">1-9, 1-10</t>
  </si>
  <si>
    <t xml:space="preserve">AT-1 to AT-4</t>
  </si>
  <si>
    <t xml:space="preserve">Microsoft: Microsoft Defender for Office 365 (attack simulation training — built-in phishing simulation), Microsoft Security Copilot (security awareness insights)
★ Immersive Labs: AI-powered cyber workforce resilience — hands-on labs, crisis simulations, cyber range exercises, phishing simulations. MITRE ATT&amp;CK mapped. Role-specific training (SOC, AppSec, Cloud, OT). Board-ready reporting
Others: KnowBe4, Proofpoint Security Awareness, SANS</t>
  </si>
  <si>
    <t xml:space="preserve">P6: Creative Human Capital — Cyber awareness builds national human capital and digital literacy
P1: Effective Public Administration — Trained workforce reduces risk across 126+ entities</t>
  </si>
  <si>
    <t xml:space="preserve">CIS 14.1, 14.2, 14.3, 14.6</t>
  </si>
  <si>
    <t xml:space="preserve">PR-3.2</t>
  </si>
  <si>
    <t xml:space="preserve">Official Social Media &amp; Digital Presence</t>
  </si>
  <si>
    <t xml:space="preserve">Protect official accounts from impersonation.</t>
  </si>
  <si>
    <t xml:space="preserve">Register of official accounts. Corporate email for creation. Enable verification where available. Protect with MFA and role-based admin. Review access annually and on departure.</t>
  </si>
  <si>
    <t xml:space="preserve">Maintain a register of official Entity accounts on external platforms. Create accounts using corporate email only and with appropriate naming conventions. Enable platform verification features where available. Protect with MFA and role-based administration. Review access at least annually, and on staff departure.</t>
  </si>
  <si>
    <t xml:space="preserve">A.5.10</t>
  </si>
  <si>
    <t xml:space="preserve">1-9</t>
  </si>
  <si>
    <t xml:space="preserve">AC-22</t>
  </si>
  <si>
    <t xml:space="preserve">Microsoft: Microsoft Entra ID (MFA for social accounts), Microsoft Defender for Cloud Apps (SaaS account monitoring)
Others: Brandwatch, ZeroFox, Proofpoint Digital Risk</t>
  </si>
  <si>
    <t xml:space="preserve">P7: Global Positioning — Protects Kuwait's digital presence and cultural positioning
P4: Sustainable Living Environment — Prevents misinformation and brand impersonation</t>
  </si>
  <si>
    <t xml:space="preserve">CIS 14.8</t>
  </si>
  <si>
    <t xml:space="preserve">PR-4.1</t>
  </si>
  <si>
    <t xml:space="preserve">Endpoint, Email &amp; Web Protection</t>
  </si>
  <si>
    <t xml:space="preserve">8.5 Endpoint/Email/Web</t>
  </si>
  <si>
    <t xml:space="preserve">Reduce malware and phishing risk.</t>
  </si>
  <si>
    <t xml:space="preserve">Deploy EDR (preferred) on all supported servers, workstations, laptops with auto-updates, centralized management, tamper protection. Email security: spam filtering, sandboxing, URL filtering, block dangerous file types. DMARC at p=quarantine or p=reject. DNS filtering for malicious domains. One-click phishing report button where available.</t>
  </si>
  <si>
    <t xml:space="preserve">Deploy endpoint protection (e.g., anti-malware/EDR software) on supported servers and workstations with automatic signature and definition updates. Use email security controls (spam filtering, attachment scanning). Configure corporate email domains with SPF, DKIM, and DMARC. Deploy web content filtering or DNS-level filtering to restrict access to known malicious domains.</t>
  </si>
  <si>
    <t xml:space="preserve">A.8.7, A.8.23</t>
  </si>
  <si>
    <t xml:space="preserve">2-6 to 2-8</t>
  </si>
  <si>
    <t xml:space="preserve">SI-3, SI-4, SC-7</t>
  </si>
  <si>
    <t xml:space="preserve">Microsoft: Microsoft Defender for Endpoint (EDR — Gartner MQ Leader), Microsoft Defender for Office 365 (email protection, safe attachments, safe links, anti-phishing), Microsoft Defender XDR (unified detection &amp; response)
★ Dope Security: Endpoint-native SWG — URL filtering, anti-malware, SSL inspection, DNS filtering. Fly-Direct architecture, no datacenter stopover
Others: CrowdStrike Falcon, Trend Micro, Kaspersky</t>
  </si>
  <si>
    <t xml:space="preserve">P3: Developed Infrastructure — Endpoint protection across gov and critical infra
P1: Effective Public Administration — Email/web security for digitized government services</t>
  </si>
  <si>
    <t xml:space="preserve">CIS 9.7, 10.1, 10.2, 10.7, 13.3</t>
  </si>
  <si>
    <t xml:space="preserve">PR-4.2</t>
  </si>
  <si>
    <t xml:space="preserve">Approved Communication Platforms</t>
  </si>
  <si>
    <t xml:space="preserve">Prevent shadow IT and data leakage.</t>
  </si>
  <si>
    <t xml:space="preserve">Only Entity-approved platforms for official work. Maintain published list. Restrict unapproved tools on corporate devices.</t>
  </si>
  <si>
    <t xml:space="preserve">For official work communication (messaging, meetings, file sharing), use only Entity-approved platforms. Do not use personal or unapproved applications for work-related data or conversations.</t>
  </si>
  <si>
    <t xml:space="preserve">A.8.1</t>
  </si>
  <si>
    <t xml:space="preserve">AC-20, CM-7</t>
  </si>
  <si>
    <t xml:space="preserve">Microsoft: Microsoft Teams (approved platform), Microsoft Defender for Cloud Apps (CASB — discover and control unapproved SaaS), Microsoft Intune (app restriction policies)
Others: Netskope CASB</t>
  </si>
  <si>
    <t xml:space="preserve">P1: Effective Public Administration — Approved platforms prevent shadow IT in gov
P4: Sustainable Living Environment — Controlled citizen-government interactions</t>
  </si>
  <si>
    <t xml:space="preserve">CIS 2.5, 9.1</t>
  </si>
  <si>
    <t xml:space="preserve">PR-4.3</t>
  </si>
  <si>
    <t xml:space="preserve">Portable Media &amp; Removable Device Control</t>
  </si>
  <si>
    <t xml:space="preserve">Control removable media risks.</t>
  </si>
  <si>
    <t xml:space="preserve">Restrict/disable unapproved USB on Entity systems. USB whitelisting where feasible. Encryption required for authorized media. Autorun/autoplay disabled. Staff training on media risks.</t>
  </si>
  <si>
    <t xml:space="preserve">Restrict or technically disable the use of portable storage media (USB drives, external HDD) on Entity systems, especially those handling Sensitive data.</t>
  </si>
  <si>
    <t xml:space="preserve">A.8.1, A.8.12</t>
  </si>
  <si>
    <t xml:space="preserve">2-13</t>
  </si>
  <si>
    <t xml:space="preserve">MP-2, MP-7</t>
  </si>
  <si>
    <t xml:space="preserve">Microsoft: Microsoft Intune (device restriction policies for removable storage), Microsoft Defender for Endpoint (device control — USB whitelisting), BitLocker To Go (USB encryption)
Others: Endpoint Protector, Ivanti Device Control</t>
  </si>
  <si>
    <t xml:space="preserve">P1: Effective Public Administration — Removable media control in gov environments
P3: Developed Infrastructure — USB controls for OT/ICS in energy and water</t>
  </si>
  <si>
    <t xml:space="preserve">CIS 10.3</t>
  </si>
  <si>
    <t xml:space="preserve">PR-4.4</t>
  </si>
  <si>
    <t xml:space="preserve">Mobile Device Management</t>
  </si>
  <si>
    <t xml:space="preserve">Secure mobile access to corporate resources.</t>
  </si>
  <si>
    <t xml:space="preserve">MDM/equivalent for all devices accessing corporate email or Sensitive data. Enforce: encryption, screen lock (2 min), remote wipe, OS compliance, app control. Remote wipe lost devices within 24 hours. Block jailbroken/rooted devices.</t>
  </si>
  <si>
    <t xml:space="preserve">AC-19, CM-8</t>
  </si>
  <si>
    <t xml:space="preserve">Microsoft: Microsoft Intune (MDM/UEM — Gartner MQ Leader for UEM: encryption, screen lock, remote wipe, OS compliance, app control, jailbreak detection), Microsoft Defender for Endpoint Mobile
Others: VMware Workspace ONE, Jamf Pro, Lookout MTD</t>
  </si>
  <si>
    <t xml:space="preserve">P1: Effective Public Administration — MDM enables secure mobile gov services (Kuwait Mobile ID)
P3: Developed Infrastructure — Device compliance for 5G mobile workforce</t>
  </si>
  <si>
    <t xml:space="preserve">CIS 1.4, 5.6</t>
  </si>
  <si>
    <t xml:space="preserve">PR-5.1</t>
  </si>
  <si>
    <t xml:space="preserve">Data Protection, Backup &amp; Lifecycle</t>
  </si>
  <si>
    <t xml:space="preserve">8.6 Data/Backup/Encrypt</t>
  </si>
  <si>
    <t xml:space="preserve">Ensure critical data is protected, recoverable, and disposable.</t>
  </si>
  <si>
    <t xml:space="preserve">Regular automated backups for critical systems/data. Store in network-isolated location (air-gapped or immutable preferred). Protect from unauthorized access and ransomware. Test restoration semi-annually. Define retention and secure disposal per Data Classification Framework. At least one backup copy MUST be immutable. Cloud backups of Sensitive data require sovereignty approvals.</t>
  </si>
  <si>
    <t xml:space="preserve">Implement regular, automated backups for critical systems and data, with priority to Sensitive and Restricted data. Store backups in at least one location that is separate from the primary data and network-isolated from production systems. Protect backup data from unauthorized access, modification, or destruction. Test restoration of backups for at least key systems at least annually. Define and enforce retention periods and secure disposal procedures aligned with the National Data Classification Framework.</t>
  </si>
  <si>
    <t xml:space="preserve">A.8.10–A.8.13</t>
  </si>
  <si>
    <t xml:space="preserve">2-9, 2-10</t>
  </si>
  <si>
    <t xml:space="preserve">CP-9, CP-10, MP</t>
  </si>
  <si>
    <t xml:space="preserve">Microsoft: Azure Backup (automated backup with immutable vaults), Azure Site Recovery (DR), Azure Blob Immutable Storage (WORM), Microsoft 365 Backup (M365 data protection)
Others: Veeam, Commvault, Rubrik, Dell PowerProtect</t>
  </si>
  <si>
    <t xml:space="preserve">P3: Developed Infrastructure — Immutable backups for national data center and cloud
P5: High Quality Healthcare — Backup resilience for healthcare IT (8,000+ beds expansion)</t>
  </si>
  <si>
    <t xml:space="preserve">CIS 11.1, 11.2, 11.3, 11.4, 11.5</t>
  </si>
  <si>
    <t xml:space="preserve">PR-5.2</t>
  </si>
  <si>
    <t xml:space="preserve">Encryption &amp; Data-in-Transit Protection</t>
  </si>
  <si>
    <t xml:space="preserve">Protect data in motion and at rest.</t>
  </si>
  <si>
    <t xml:space="preserve">TLS 1.2+ for all data in transit across untrusted networks. Disable SSL, TLS 1.0/1.1. Sensitive data at rest encrypted (AES-256 or equivalent). Keys managed separately from data. Internal apps with Sensitive data SHOULD use TLS. Email protected via STARTTLS minimum.</t>
  </si>
  <si>
    <t xml:space="preserve">A.8.24</t>
  </si>
  <si>
    <t xml:space="preserve">2-8</t>
  </si>
  <si>
    <t xml:space="preserve">SC-8, SC-12, SC-13, SC-28</t>
  </si>
  <si>
    <t xml:space="preserve">Microsoft: Azure TLS enforcement (TLS 1.2+ mandatory), BitLocker (disk encryption), Azure Information Protection (file-level encryption), Azure Key Vault (key management)
★ Dope Security: On-device SSL/TLS inspection — encrypted traffic compliance without routing through third-party datacenters
Others: Thales CipherTrust, F5</t>
  </si>
  <si>
    <t xml:space="preserve">P3: Developed Infrastructure — Encryption across national intranet and cloud
P2: Sustainable Economy — TLS enables secure digital commerce and financial transactions</t>
  </si>
  <si>
    <t xml:space="preserve">CIS 3.10, 3.11</t>
  </si>
  <si>
    <t xml:space="preserve">PR-5.3</t>
  </si>
  <si>
    <t xml:space="preserve">Certificate &amp; Key Management</t>
  </si>
  <si>
    <t xml:space="preserve">Manage cryptographic assets throughout lifecycle.</t>
  </si>
  <si>
    <t xml:space="preserve">Inventory of certificates and keys with ownership, expiry tracking, renewal. Automated alerts 30 days before expiry. Private keys stored securely. Avoid wildcards for Sensitive systems. CA governance process recommended.</t>
  </si>
  <si>
    <t xml:space="preserve">SC-12, SC-17</t>
  </si>
  <si>
    <t xml:space="preserve">Microsoft: Azure Key Vault (certificate lifecycle management, auto-renewal, expiry alerts), Microsoft Cloud PKI (via Intune), Microsoft Entra Certificate-Based Authentication
Others: Venafi, Keyfactor, DigiCert, Thales Luna HSM</t>
  </si>
  <si>
    <t xml:space="preserve">P3: Developed Infrastructure — Certificate mgmt for PKI, digital signatures, Kuwait Mobile ID
P1: Effective Public Administration — Cryptographic governance for e-government trust</t>
  </si>
  <si>
    <t xml:space="preserve">CIS 3.10</t>
  </si>
  <si>
    <t xml:space="preserve">PR-6.1</t>
  </si>
  <si>
    <t xml:space="preserve">Physical Protection of Critical IT Assets</t>
  </si>
  <si>
    <t xml:space="preserve">8.7 Physical</t>
  </si>
  <si>
    <t xml:space="preserve">Prevent tampering, theft, or damage to critical equipment.</t>
  </si>
  <si>
    <t xml:space="preserve">Identify critical IT areas (data centers, server rooms, network rooms, backup storage, OT control rooms). Locked access, restricted to authorized personnel, visitor log with escort, CCTV for Tier 1 critical areas, environmental controls for data centers. Secure backup media when not in use. Review physical access lists semi-annually.</t>
  </si>
  <si>
    <t xml:space="preserve">Identify critical IT areas (for example, data centers, server rooms, main network rooms, and locations where backup media are stored). Implement physical protections including: locked access (card, biometric, or key-controlled), access restricted to authorized personnel only, visitor log and escort requirements. Secure backup media and portable equipment when not in use.</t>
  </si>
  <si>
    <t xml:space="preserve">A.7.1–A.7.4</t>
  </si>
  <si>
    <t xml:space="preserve">2-14</t>
  </si>
  <si>
    <t xml:space="preserve">PE-1 to PE-6</t>
  </si>
  <si>
    <t xml:space="preserve">Microsoft: N/A (physical security outside MS portfolio)
Others: HID Global, Genetec, Hikvision (CCTV), Schneider Electric (environmental)</t>
  </si>
  <si>
    <t xml:space="preserve">P3: Developed Infrastructure — Physical protection for national data center, smart city
P5: High Quality Healthcare — Physical security for healthcare facilities</t>
  </si>
  <si>
    <t xml:space="preserve">CIS 4.8</t>
  </si>
  <si>
    <t xml:space="preserve">PR-7.1</t>
  </si>
  <si>
    <t xml:space="preserve">Secure Application Development &amp; Acquisition</t>
  </si>
  <si>
    <t xml:space="preserve">8.8 App Security</t>
  </si>
  <si>
    <t xml:space="preserve">Prevent application-layer vulnerabilities.</t>
  </si>
  <si>
    <t xml:space="preserve">Entities developing/commissioning software MUST require secure coding (OWASP Top 10), security testing before production, remediation of critical/high before go-live. Inventory application components/libraries. Evaluate acquired software for known vulns before deployment.</t>
  </si>
  <si>
    <t xml:space="preserve">A.8.25–A.8.31</t>
  </si>
  <si>
    <t xml:space="preserve">2-4</t>
  </si>
  <si>
    <t xml:space="preserve">SA-11, SA-15, SI-10</t>
  </si>
  <si>
    <t xml:space="preserve">Microsoft: Microsoft Defender for Cloud (DevSecOps — SAST/DAST via GitHub Advanced Security integration), Azure DevOps (secure CI/CD pipelines), GitHub Advanced Security (code scanning, secret scanning)
★ Lineaje: SBOM360 — continuous software supply chain analysis, identifies vulnerabilities across entire dependency chain with AI-driven remediation
Others: Checkmarx, Snyk, SonarQube, Veracode</t>
  </si>
  <si>
    <t xml:space="preserve">P2: Sustainable Economy — Secure SDLC for fintech, e-commerce, digital platforms
P3: Developed Infrastructure — App security for e-government and smart city</t>
  </si>
  <si>
    <t xml:space="preserve">CIS 16.1, 16.2, 16.4, 16.9</t>
  </si>
  <si>
    <t xml:space="preserve">PR-7.2</t>
  </si>
  <si>
    <t xml:space="preserve">Web Application &amp; API Protection</t>
  </si>
  <si>
    <t xml:space="preserve">Defend internet-facing applications.</t>
  </si>
  <si>
    <t xml:space="preserve">WAF for internet-facing web apps. No technical details in error pages. APIs: authentication, rate limiting, input validation, logging. No unauthenticated APIs for Sensitive data. Secure session management (HTTPS cookies, timeout, CSRF protection).</t>
  </si>
  <si>
    <t xml:space="preserve">A.8.26</t>
  </si>
  <si>
    <t xml:space="preserve">SI-10, SC-7</t>
  </si>
  <si>
    <t xml:space="preserve">Microsoft: Azure WAF (Web Application Firewall on Azure Front Door/Application Gateway), Azure API Management (API gateway with rate limiting, auth, logging), Azure DDoS Protection
Others: F5 Advanced WAF, Imperva, Cloudflare WAF, Salt Security</t>
  </si>
  <si>
    <t xml:space="preserve">P2: Sustainable Economy — WAF/API for digital commerce, banking, gov portals
P1: Effective Public Administration — Web app protection for citizen e-services</t>
  </si>
  <si>
    <t xml:space="preserve">CIS 13.6, 13.10</t>
  </si>
  <si>
    <t xml:space="preserve">PR-8.1</t>
  </si>
  <si>
    <t xml:space="preserve">OT/ICS Asset Inventory &amp; Segmentation</t>
  </si>
  <si>
    <t xml:space="preserve">8.9 OT/ICS</t>
  </si>
  <si>
    <t xml:space="preserve">OT entities</t>
  </si>
  <si>
    <t xml:space="preserve">Protect industrial control systems from cyber compromise.</t>
  </si>
  <si>
    <t xml:space="preserve">Separate OT asset inventory. IT/OT network segmentation (no direct bridging without DMZ/data diode). No direct internet to OT networks. All IT-OT traffic through monitored boundary devices.</t>
  </si>
  <si>
    <t xml:space="preserve">OTCC</t>
  </si>
  <si>
    <t xml:space="preserve">SC-7, PM-32</t>
  </si>
  <si>
    <t xml:space="preserve">Microsoft: Microsoft Defender for IoT (OT/ICS network monitoring — Gartner MQ Leader for CPS Protection), Microsoft Sentinel (IT/OT convergence via Defender for IoT connector)
★ Nozomi Networks: Guardian — industry-leading OT/ICS platform: network visibility, passive asset discovery, vulnerability assessment, anomaly detection. Arc (endpoint), Vantage (cloud analytics). NCA OTCC aligned
Others: Claroty, Dragos, Waterfall Security</t>
  </si>
  <si>
    <t xml:space="preserve">P3: Developed Infrastructure — OT/ICS for oil &amp; gas, energy, water, industrial infra
P2: Sustainable Economy — Secures Kuwait's primary economic assets (oil &amp; gas)</t>
  </si>
  <si>
    <t xml:space="preserve">CIS 1.1, 12.2</t>
  </si>
  <si>
    <t xml:space="preserve">PR-8.2</t>
  </si>
  <si>
    <t xml:space="preserve">OT-Specific Access &amp; Incident Response</t>
  </si>
  <si>
    <t xml:space="preserve">Address unique OT access and safety requirements.</t>
  </si>
  <si>
    <t xml:space="preserve">Dedicated jump servers with MFA and session recording for OT remote access. USB scanning and logging in OT. OT incident response includes safe shutdown, manual override, safety engineering coordination. Report OT events to NCSC.</t>
  </si>
  <si>
    <t xml:space="preserve">PR.AA, RS.MA</t>
  </si>
  <si>
    <t xml:space="preserve">A.8.20, A.5.26</t>
  </si>
  <si>
    <t xml:space="preserve">AC-17, IR-4, PE-10</t>
  </si>
  <si>
    <t xml:space="preserve">Microsoft: Microsoft Defender for IoT (OT threat detection &amp; incident analysis), Microsoft Sentinel (OT security alerting &amp; investigation)
★ Nozomi Networks: OT-specific threat detection, incident analysis, compliance monitoring. IT/OT convergence support. Integrates with SOC workflows
Others: Claroty SRA, Dragos Platform</t>
  </si>
  <si>
    <t xml:space="preserve">P3: Developed Infrastructure — OT incident response for critical national operations
P4: Sustainable Living Environment — Safe shutdown protects environmental systems</t>
  </si>
  <si>
    <t xml:space="preserve">CIS 6.8, 17.4</t>
  </si>
  <si>
    <t xml:space="preserve">PR-9.1</t>
  </si>
  <si>
    <t xml:space="preserve">Change Management</t>
  </si>
  <si>
    <t xml:space="preserve">8.10 Change Mgmt</t>
  </si>
  <si>
    <t xml:space="preserve">Prevent unauthorized or untested changes.</t>
  </si>
  <si>
    <t xml:space="preserve">Documented change process for critical systems, network, firewall, security controls: request, risk assessment, approval, testing, rollback plan, post-review. Emergency changes documented within 48 hours. Unauthorized changes investigated as potential incidents.</t>
  </si>
  <si>
    <t xml:space="preserve">PR.IP</t>
  </si>
  <si>
    <t xml:space="preserve">A.8.32</t>
  </si>
  <si>
    <t xml:space="preserve">CM-3, CM-4, CM-5</t>
  </si>
  <si>
    <t xml:space="preserve">Microsoft: ServiceNow Change Management (integrates with MS ecosystem), Azure DevOps (change tracking), Microsoft Intune (config change auditing)
Others: Jira Service Management, BMC Helix</t>
  </si>
  <si>
    <t xml:space="preserve">P1: Effective Public Administration — Change mgmt enables controlled digital transformation
P3: Developed Infrastructure — Prevents unauthorized changes to critical infra</t>
  </si>
  <si>
    <t xml:space="preserve">CIS 4.2, 4.3</t>
  </si>
  <si>
    <t xml:space="preserve">DE-1</t>
  </si>
  <si>
    <t xml:space="preserve">Audit Logging &amp; Monitoring</t>
  </si>
  <si>
    <t xml:space="preserve">DE — Detect</t>
  </si>
  <si>
    <t xml:space="preserve">9. Detect</t>
  </si>
  <si>
    <t xml:space="preserve">Provide visibility and support investigations.</t>
  </si>
  <si>
    <t xml:space="preserve">Enable logging on all critical systems, network devices, security tools, identity infrastructure, key apps. Log: auth events, privileged actions, account changes, config changes, Sensitive data access, firewall denies. Centralize in SIEM (mandatory Tier 1, recommended Tier 2). Write-once/immutable log storage. Retain 90 days live, 12 months total. At least 10 detection use cases including: brute force, impossible travel, privilege escalation, lateral movement, IOC matching.</t>
  </si>
  <si>
    <t xml:space="preserve">Enable audit logging on critical systems, network devices, security tools, and key applications. At minimum, log: authentication events (success and failure), privileged actions, account creation and modification, and security configuration changes. Centralize logs where feasible. Protect logs from unauthorized modification or deletion. Retain logs for at least 90 days readily accessible, and 12 months in total.</t>
  </si>
  <si>
    <t xml:space="preserve">DE.CM, DE.AE</t>
  </si>
  <si>
    <t xml:space="preserve">A.8.15, A.8.16</t>
  </si>
  <si>
    <t xml:space="preserve">2-11, 2-12</t>
  </si>
  <si>
    <t xml:space="preserve">AU-2 to AU-12, SI-4</t>
  </si>
  <si>
    <t xml:space="preserve">Microsoft: Microsoft Sentinel (cloud-native SIEM — Gartner MQ Leader), Microsoft Defender XDR (unified detection &amp; response), Microsoft Security Copilot (AI-assisted threat hunting)
★ Arcanna.ai: AI-driven SOC decision intelligence — auto-triages 80-95% of false-positive alerts. Integrates with Sentinel, Splunk, QRadar, Palo Alto XSOAR, CrowdStrike, FortiSOAR. Policy-gated automation with audit trails
Others: Splunk, IBM QRadar, Fortinet FortiSIEM</t>
  </si>
  <si>
    <t xml:space="preserve">P1: Effective Public Administration — Monitoring across 33,000+ gov sites (national intranet)
P3: Developed Infrastructure — Detection for smart city, cloud, critical infra</t>
  </si>
  <si>
    <t xml:space="preserve">CIS 8.1, 8.2, 8.3, 8.5, 8.9, 8.11</t>
  </si>
  <si>
    <t xml:space="preserve">DE-2</t>
  </si>
  <si>
    <t xml:space="preserve">Time Synchronization</t>
  </si>
  <si>
    <t xml:space="preserve">Ensure consistent timestamps for investigations.</t>
  </si>
  <si>
    <t xml:space="preserve">All systems synchronize to reliable NTP source. Log timestamps consistent across infrastructure. Periodically verify synchronization.</t>
  </si>
  <si>
    <t xml:space="preserve">Ensure all information systems (servers, workstations, network devices) synchronize their system clocks to a reliable, authoritative time source (NTP). Periodically verify clock synchronization across infrastructure.</t>
  </si>
  <si>
    <t xml:space="preserve">DE.CM</t>
  </si>
  <si>
    <t xml:space="preserve">A.8.17</t>
  </si>
  <si>
    <t xml:space="preserve">2-11</t>
  </si>
  <si>
    <t xml:space="preserve">AU-8</t>
  </si>
  <si>
    <t xml:space="preserve">Microsoft: Windows Time Service (built-in NTP), Azure Monitor (timestamp validation)
Others: Chrony, PRTG</t>
  </si>
  <si>
    <t xml:space="preserve">P3: Developed Infrastructure — Time sync across national infrastructure
P1: Effective Public Administration — Consistent timestamps for audit trails</t>
  </si>
  <si>
    <t xml:space="preserve">CIS 8.4</t>
  </si>
  <si>
    <t xml:space="preserve">DE-3</t>
  </si>
  <si>
    <t xml:space="preserve">Threat Intelligence Integration</t>
  </si>
  <si>
    <t xml:space="preserve">Enable collective defense and rapid response to emerging threats.</t>
  </si>
  <si>
    <t xml:space="preserve">Subscribe to and act on NCSC threat advisories and IOC feeds. Tier 1: integrate IOCs into blocking within 24 hours. All entities: triage and action intelligence within 72 hours. Share anonymized indicators and artifacts with NCSC for national situational awareness.</t>
  </si>
  <si>
    <t xml:space="preserve">DE.AE</t>
  </si>
  <si>
    <t xml:space="preserve">A.5.7</t>
  </si>
  <si>
    <t xml:space="preserve">2-12</t>
  </si>
  <si>
    <t xml:space="preserve">PM-16, RA-5, SI-5</t>
  </si>
  <si>
    <t xml:space="preserve">Microsoft: Microsoft Defender Threat Intelligence (MDTI — threat intel feeds, IOC enrichment), Microsoft Sentinel Threat Intelligence (TI connector with 50+ feeds), Microsoft Security Copilot (AI threat analysis)
★ Arcanna.ai: AI-powered threat intelligence operationalization — auto-ingests, correlates, and acts on IOC feeds within SIEM/SOAR workflows. Continuous feedback loops improve detection accuracy
Others: Recorded Future, Mandiant Advantage, Group-IB</t>
  </si>
  <si>
    <t xml:space="preserve">P7: Global Positioning — Collective defense enhances national and regional posture
P3: Developed Infrastructure — Threat intel protects critical infra from state-sponsored attacks</t>
  </si>
  <si>
    <t xml:space="preserve">CIS 13.1, 13.2, 13.3</t>
  </si>
  <si>
    <t xml:space="preserve">RS-1</t>
  </si>
  <si>
    <t xml:space="preserve">Incident Reporting to NCSC &amp; Leadership</t>
  </si>
  <si>
    <t xml:space="preserve">RS — Respond</t>
  </si>
  <si>
    <t xml:space="preserve">10. Respond</t>
  </si>
  <si>
    <t xml:space="preserve">Ensure serious incidents are reported and handled.</t>
  </si>
  <si>
    <t xml:space="preserve">Simple incident reporting process. Designated IR lead + backup. Contacts for IR team, providers, NCSC, sector regulators. Notify NCSC: within 4 hours (Tier 1), 24 hours (Tier 2/3). Use out-of-band channels during active incidents. Report contained attacks against critical systems for national threat picture.</t>
  </si>
  <si>
    <t xml:space="preserve">Establish and communicate a simple incident reporting process so that staff know how to report suspected incidents. Designate an incident response lead and at least one backup. Maintain up-to-date contacts for the IR lead, backup, key service providers, and NCSC. For actual or suspected cybersecurity incidents, notify NCSC promptly through official channels and within applicable NCSC timelines.</t>
  </si>
  <si>
    <t xml:space="preserve">RS.AN, RS.CO</t>
  </si>
  <si>
    <t xml:space="preserve">A.5.24, A.5.25</t>
  </si>
  <si>
    <t xml:space="preserve">3-1</t>
  </si>
  <si>
    <t xml:space="preserve">IR-6</t>
  </si>
  <si>
    <t xml:space="preserve">Microsoft: Microsoft Sentinel (incident management &amp; SOAR playbooks), Microsoft Defender XDR (automated incident correlation), Microsoft Security Copilot (incident summarization)
★ Arcanna.ai: Accelerates incident triage by auto-classifying severity and suggesting remediation — reduces MTTR significantly
Others: ServiceNow SIRP, PagerDuty</t>
  </si>
  <si>
    <t xml:space="preserve">P1: Effective Public Administration — Incident reporting enables national situational awareness
P7: Global Positioning — Incident management maturity for international community</t>
  </si>
  <si>
    <t xml:space="preserve">CIS 17.4</t>
  </si>
  <si>
    <t xml:space="preserve">RS-2</t>
  </si>
  <si>
    <t xml:space="preserve">Incident Handling, Forensics &amp; Coordination</t>
  </si>
  <si>
    <t xml:space="preserve">Provide structured, evidence-preserving response.</t>
  </si>
  <si>
    <t xml:space="preserve">Written procedure covering: triage, containment (network isolation, account disable, endpoint quarantine), evidence preservation (forensic images, chain of custody), eradication, recovery, communication (NCSC, regulators, law enforcement), post-incident review. Triage NCSC notifications within 24 hours. Lessons-learned within 14 days of significant incidents. Share with NCSC and sector peers.</t>
  </si>
  <si>
    <t xml:space="preserve">Maintain a short-written incident response procedure that covers initial triage, containment, communication, and escalation. When notified by NCSC of a potential incident, triage and investigate within a reasonable timeframe. After significant incidents, capture lessons learned and update procedures.</t>
  </si>
  <si>
    <t xml:space="preserve">RS.AN, RS.MA</t>
  </si>
  <si>
    <t xml:space="preserve">A.5.26–A.5.28</t>
  </si>
  <si>
    <t xml:space="preserve">IR-1 to IR-8</t>
  </si>
  <si>
    <t xml:space="preserve">Microsoft: Microsoft Sentinel (investigation workbooks, SOAR automation, incident timelines), Microsoft Defender XDR (automated attack disruption), Microsoft Security Copilot (AI-guided investigation)
★ Arcanna.ai + ★ Immersive Labs: Arcanna automates alert triage and investigation; Immersive Labs provides IR team crisis simulation and tabletop exercises
Others: Palo Alto XSOAR, CrowdStrike Falcon Forensics, Group-IB</t>
  </si>
  <si>
    <t xml:space="preserve">P1: Effective Public Administration — Forensic capability supports prosecution and deterrence
P3: Developed Infrastructure — Incident handling for critical infra continuity</t>
  </si>
  <si>
    <t xml:space="preserve">CIS 17.4, 17.7, 17.8</t>
  </si>
  <si>
    <t xml:space="preserve">RC-1</t>
  </si>
  <si>
    <t xml:space="preserve">Recovery Planning &amp; Business Continuity</t>
  </si>
  <si>
    <t xml:space="preserve">RC — Recover</t>
  </si>
  <si>
    <t xml:space="preserve">11. Recover</t>
  </si>
  <si>
    <t xml:space="preserve">Support structured recovery after incidents.</t>
  </si>
  <si>
    <t xml:space="preserve">Recovery plans with: prioritized critical services with RTO/RPO, backup locations and restoration procedures, key contacts, sequencing/dependencies, stakeholder communication plan. BIA at least every 2 years (Tier 1), 3 years (others). Review plans annually, after incidents, and after significant changes.</t>
  </si>
  <si>
    <t xml:space="preserve">Maintain a simple recovery plan or documented procedures for restoring critical systems and services after incidents or disruptions. Plans should include prioritized list of critical services, backup locations and restoration procedures, key contacts and escalation paths. Review and update plans at least annually, after major incidents, or after significant changes.</t>
  </si>
  <si>
    <t xml:space="preserve">RC.RP</t>
  </si>
  <si>
    <t xml:space="preserve">A.5.29, A.5.30</t>
  </si>
  <si>
    <t xml:space="preserve">CP-1, CP-2</t>
  </si>
  <si>
    <t xml:space="preserve">Microsoft: Azure Site Recovery (disaster recovery orchestration), Azure Backup (recovery planning), Microsoft 365 Backup (M365 recovery)
Others: Veeam DR, Zerto, ServiceNow BCM</t>
  </si>
  <si>
    <t xml:space="preserve">P3: Developed Infrastructure — Recovery planning for mega-project resilience
P5: High Quality Healthcare — BCP for healthcare service continuity</t>
  </si>
  <si>
    <t xml:space="preserve">CIS 11.1, 17.7</t>
  </si>
  <si>
    <t xml:space="preserve">RC-2</t>
  </si>
  <si>
    <t xml:space="preserve">Recovery Testing &amp; Continuous Improvement</t>
  </si>
  <si>
    <t xml:space="preserve">Ensure recovery works and improvements are implemented.</t>
  </si>
  <si>
    <t xml:space="preserve">Recovery tests semi-annually (Tier 1), annually (others). Include: backup restoration test and tabletop exercise (ransomware/wiper scenario). Capture lessons learned, update procedures, track improvements, report to senior management.</t>
  </si>
  <si>
    <t xml:space="preserve">Conduct basic recovery or continuity tests (for example, tabletop exercises or partial restoration tests) for critical systems at least annually. After real incidents or tests, capture lessons learned, update recovery procedures, and track improvement actions to completion.</t>
  </si>
  <si>
    <t xml:space="preserve">RC.RP, RC.CO</t>
  </si>
  <si>
    <t xml:space="preserve">A.5.30</t>
  </si>
  <si>
    <t xml:space="preserve">CP-4, CP-10</t>
  </si>
  <si>
    <t xml:space="preserve">Microsoft: Azure Site Recovery (automated failover testing), Microsoft Sentinel (tabletop exercise support via Security Copilot)
★ Immersive Labs: Cyber crisis simulation and tabletop exercises — realistic ransomware/wiper scenarios, team benchmarking against MITRE ATT&amp;CK, after-action analytics, board-ready reporting
Others: Veeam SureBackup, Zerto</t>
  </si>
  <si>
    <t xml:space="preserve">P1: Effective Public Administration — Recovery testing validates digital service resilience
P6: Creative Human Capital — Exercises build national cyber response capability</t>
  </si>
  <si>
    <t xml:space="preserve">CIS 11.5, 17.8</t>
  </si>
  <si>
    <t xml:space="preserve">RC-3</t>
  </si>
  <si>
    <t xml:space="preserve">Crisis Communication &amp; Out-of-Band Capability</t>
  </si>
  <si>
    <t xml:space="preserve">Maintain communication when primary channels are compromised.</t>
  </si>
  <si>
    <t xml:space="preserve">Out-of-band communication not dependent on corporate email/network. May include satellite phones, personal devices with pre-shared contacts, secure messaging. Document and test key contacts annually. Pre-draft crisis templates for internal, public, regulators.</t>
  </si>
  <si>
    <t xml:space="preserve">RC.CO</t>
  </si>
  <si>
    <t xml:space="preserve">CP-2, IR-4</t>
  </si>
  <si>
    <t xml:space="preserve">Microsoft: Microsoft Teams (emergency channel — can operate on personal devices), Microsoft 365 (out-of-band via personal mobile)
Others: Thuraya satellite phones (UAE-based), Everbridge, Signal</t>
  </si>
  <si>
    <t xml:space="preserve">P3: Developed Infrastructure — Out-of-band comms for critical infra crisis coordination
P1: Effective Public Administration — Government continuity communication</t>
  </si>
  <si>
    <t xml:space="preserve">CLD-1</t>
  </si>
  <si>
    <t xml:space="preserve">Regulatory Authorization</t>
  </si>
  <si>
    <t xml:space="preserve">CLD — Cloud</t>
  </si>
  <si>
    <t xml:space="preserve">12.1 Cloud Acquisition</t>
  </si>
  <si>
    <t xml:space="preserve">Cloud users</t>
  </si>
  <si>
    <t xml:space="preserve">Ensure CSP is permitted to operate.</t>
  </si>
  <si>
    <t xml:space="preserve">CSP authorized per Kuwait regulations.</t>
  </si>
  <si>
    <t xml:space="preserve">Entities MUST ensure the Cloud Service Provider (CSP) is authorized to operate in the State of Kuwait in accordance with regulations issued by the relevant national authorities.</t>
  </si>
  <si>
    <t xml:space="preserve">A.5.23</t>
  </si>
  <si>
    <t xml:space="preserve">4-2</t>
  </si>
  <si>
    <t xml:space="preserve">SA-9</t>
  </si>
  <si>
    <t xml:space="preserve">Microsoft: Azure Trust Center (compliance documentation), Azure Compliance Manager
Others: CSP-specific compliance portals</t>
  </si>
  <si>
    <t xml:space="preserve">P1: Effective Public Administration — Regulatory compliance for cloud-first gov strategy
P3: Developed Infrastructure — CSP authorization for national cloud program</t>
  </si>
  <si>
    <t xml:space="preserve">CIS 15.1</t>
  </si>
  <si>
    <t xml:space="preserve">CLD-2</t>
  </si>
  <si>
    <t xml:space="preserve">Provider Due Diligence</t>
  </si>
  <si>
    <t xml:space="preserve">Evaluate CSP security before selection.</t>
  </si>
  <si>
    <t xml:space="preserve">Evaluate via ISO 27001, SOC 2 Type II, CSA STAR Level 2. Review certification scope alignment.</t>
  </si>
  <si>
    <t xml:space="preserve">Prior to selection, Entities MUST evaluate the CSP’s security posture. This requirement is satisfied by reviewing the CSP’s valid, independent international security certifications (e.g., ISO 27001, SOC 2 Type II, CSA STAR Level 2).</t>
  </si>
  <si>
    <t xml:space="preserve">A.5.19, A.5.23</t>
  </si>
  <si>
    <t xml:space="preserve">SA-9, RA-3</t>
  </si>
  <si>
    <t xml:space="preserve">Microsoft: Azure Compliance Manager (certification tracking — ISO 27001, SOC 2, CSA STAR), Microsoft Service Trust Portal
Others: Qualys CloudView, CSA STAR Registry</t>
  </si>
  <si>
    <t xml:space="preserve">P2: Sustainable Economy — Due diligence enables secure cloud for economic diversification
P3: Developed Infrastructure — CSP assessment for national data center/hybrid cloud</t>
  </si>
  <si>
    <t xml:space="preserve">CIS 15.2, 15.4</t>
  </si>
  <si>
    <t xml:space="preserve">CLD-3</t>
  </si>
  <si>
    <t xml:space="preserve">Right to Audit</t>
  </si>
  <si>
    <t xml:space="preserve">Maintain assurance over CSP.</t>
  </si>
  <si>
    <t xml:space="preserve">Right to Audit via independent reports (SOC 2, C5). Review latest report annually; track exceptions.</t>
  </si>
  <si>
    <t xml:space="preserve">Contracts MUST include a "Right to Audit." To protect the security of multi-tenant environments, this right is exercised by the Entity reviewing the CSP’s independent third-party audit reports (e.g., SOC 2 Type II, C5).</t>
  </si>
  <si>
    <t xml:space="preserve">A.5.22</t>
  </si>
  <si>
    <t xml:space="preserve">SA-9, AU-6</t>
  </si>
  <si>
    <t xml:space="preserve">Microsoft: Microsoft Service Trust Portal (SOC 2, C5, ISO audit reports), Azure Compliance Manager (exception tracking)
Others: AuditBoard, ServiceNow GRC</t>
  </si>
  <si>
    <t xml:space="preserve">P1: Effective Public Administration — Audit assurance for government cloud
P7: Global Positioning — International standards demonstrate governance maturity</t>
  </si>
  <si>
    <t xml:space="preserve">CIS 15.4</t>
  </si>
  <si>
    <t xml:space="preserve">CLD-4</t>
  </si>
  <si>
    <t xml:space="preserve">Incident Notification</t>
  </si>
  <si>
    <t xml:space="preserve">Enable timely response to CSP incidents.</t>
  </si>
  <si>
    <t xml:space="preserve">CSP must notify within 72 hours of confirmed incident. Include: nature, data affected, CSP remediation, Entity actions. Escalate to NCSC per RS-1.</t>
  </si>
  <si>
    <t xml:space="preserve">Contracts MUST include a commitment from the CSP to notify the Entity of a confirmed data incident without undue delay to allow for accurate investigation and timely NCSC notification.</t>
  </si>
  <si>
    <t xml:space="preserve">GV.SC, RS.CO</t>
  </si>
  <si>
    <t xml:space="preserve">A.5.24</t>
  </si>
  <si>
    <t xml:space="preserve">IR-6, SA-9</t>
  </si>
  <si>
    <t xml:space="preserve">Microsoft: Microsoft Sentinel (CSP incident integration), Azure Service Health (incident notifications), Microsoft 365 Service Health
Others: ServiceNow SIRP</t>
  </si>
  <si>
    <t xml:space="preserve">P1: Effective Public Administration — CSP incident notification for rapid gov response
P3: Developed Infrastructure — Cloud incident mgmt for national infrastructure</t>
  </si>
  <si>
    <t xml:space="preserve">CLD-5</t>
  </si>
  <si>
    <t xml:space="preserve">Data Ownership &amp; Exit</t>
  </si>
  <si>
    <t xml:space="preserve">Prevent lock-in and data loss.</t>
  </si>
  <si>
    <t xml:space="preserve">Entity retains exclusive ownership. APIs/tools for data retrieval. Test export during contract. CSP certifies deletion within 90 days of termination.</t>
  </si>
  <si>
    <t xml:space="preserve">The contract MUST explicitly state that the Entity retains exclusive ownership of their data. The CSP MUST provide tools or standard APIs to allow the Entity to retrieve their data on termination of the agreement.</t>
  </si>
  <si>
    <t xml:space="preserve">Microsoft: Azure Data Factory (data export/migration), Azure Storage Explorer, Microsoft Graph API (M365 data retrieval)
Others: AWS DataSync, Docusign CLM</t>
  </si>
  <si>
    <t xml:space="preserve">P2: Sustainable Economy — Data portability prevents vendor lock-in
P1: Effective Public Administration — Gov data sovereignty and control</t>
  </si>
  <si>
    <t xml:space="preserve">CIS 15.1, 3.1</t>
  </si>
  <si>
    <t xml:space="preserve">CLD-6</t>
  </si>
  <si>
    <t xml:space="preserve">Service Level Agreements</t>
  </si>
  <si>
    <t xml:space="preserve">Define availability commitments.</t>
  </si>
  <si>
    <t xml:space="preserve">SLAs for availability, performance, support. Financial remedies recommended.</t>
  </si>
  <si>
    <t xml:space="preserve">Contracts MUST define Service Level Agreements (SLAs) for availability. The agreement SHOULD include financial remedies (service credits) for failure to meet the agreed SLAs.</t>
  </si>
  <si>
    <t xml:space="preserve">SA-4</t>
  </si>
  <si>
    <t xml:space="preserve">Microsoft: Azure SLA (99.9-99.99% availability), Azure Monitor (SLA tracking), Microsoft 365 SLA dashboard
Others: Datadog, CloudWatch</t>
  </si>
  <si>
    <t xml:space="preserve">P2: Sustainable Economy — SLAs ensure reliable digital services
P3: Developed Infrastructure — Availability for cloud-hosted critical services</t>
  </si>
  <si>
    <t xml:space="preserve">CLD-7</t>
  </si>
  <si>
    <t xml:space="preserve">Shared Responsibility Matrix</t>
  </si>
  <si>
    <t xml:space="preserve">12.2 Cloud Governance</t>
  </si>
  <si>
    <t xml:space="preserve">Clarify security ownership.</t>
  </si>
  <si>
    <t xml:space="preserve">Document service model and security split. Entity accountable for data classification, IAM, resource config. Review annually or on change.</t>
  </si>
  <si>
    <t xml:space="preserve">Entities MUST document the cloud service model (IaaS, PaaS, or SaaS) and the resulting division of security responsibilities. The Entity retains accountability for data classification, identity and access management, and resource configuration regardless of model.</t>
  </si>
  <si>
    <t xml:space="preserve">SA-9, PL-2</t>
  </si>
  <si>
    <t xml:space="preserve">Microsoft: Microsoft Shared Responsibility Model (Azure/M365 documentation), Microsoft Defender for Cloud (responsibility visibility), Azure Security Benchmark
Others: CSP-specific documentation</t>
  </si>
  <si>
    <t xml:space="preserve">P1: Effective Public Administration — Clarity on gov vs CSP responsibilities
P3: Developed Infrastructure — Shared responsibility for cloud-first policy</t>
  </si>
  <si>
    <t xml:space="preserve">CIS 15.3</t>
  </si>
  <si>
    <t xml:space="preserve">CLD-8</t>
  </si>
  <si>
    <t xml:space="preserve">Cloud Asset Inventory &amp; Tagging</t>
  </si>
  <si>
    <t xml:space="preserve">Visibility and governance of cloud resources.</t>
  </si>
  <si>
    <t xml:space="preserve">Real-time inventory via programmatic tagging: data classification, owner, environment, cost center. Remediate untagged within 14 days. Use IaC where feasible.</t>
  </si>
  <si>
    <t xml:space="preserve">Maintain a real-time inventory of cloud resources. Use programmatic resource tagging to identify the Data Classification (Public, Restricted, Sensitive) and Business Owner of each resource.</t>
  </si>
  <si>
    <t xml:space="preserve">A.5.9</t>
  </si>
  <si>
    <t xml:space="preserve">CM-8</t>
  </si>
  <si>
    <t xml:space="preserve">Microsoft: Azure Resource Graph (real-time inventory), Azure Policy (tagging enforcement), Azure Resource Manager (IaC templates), Terraform for Azure
Others: Cloud Custodian, AWS Config</t>
  </si>
  <si>
    <t xml:space="preserve">P3: Developed Infrastructure — Cloud asset visibility for national cloud migration
P1: Effective Public Administration — Governance of government cloud resources</t>
  </si>
  <si>
    <t xml:space="preserve">CIS 1.1, 2.1</t>
  </si>
  <si>
    <t xml:space="preserve">CLD-9</t>
  </si>
  <si>
    <t xml:space="preserve">MFA for Cloud Consoles</t>
  </si>
  <si>
    <t xml:space="preserve">12.3 Cloud IAM</t>
  </si>
  <si>
    <t xml:space="preserve">Prevent cloud account compromise.</t>
  </si>
  <si>
    <t xml:space="preserve">MFA for all cloud console users including root, admin, developers with modify permissions. Phishing-resistant MFA for root/break-glass. Log and monitor console access.</t>
  </si>
  <si>
    <t xml:space="preserve">Multi-Factor Authentication (MFA) MUST be enforced for all users with administrative access to the Cloud Management Console and root accounts.</t>
  </si>
  <si>
    <t xml:space="preserve">IA-2</t>
  </si>
  <si>
    <t xml:space="preserve">Microsoft: Microsoft Entra ID (MFA for Azure/M365 consoles — built-in), Microsoft Entra ID Protection (risk-based console access), Windows Hello / FIDO2 (phishing-resistant for root/break-glass)
★ Callsign: Behavioral biometrics MFA for cloud console access — frictionless authentication via behavioral patterns, eliminating phishable OTPs. 99.999% accuracy
Others: Cisco Duo, YubiKey</t>
  </si>
  <si>
    <t xml:space="preserve">P1: Effective Public Administration — Cloud console security for gov environments
P3: Developed Infrastructure — MFA for Zero Trust program (CAIT/NCSC/Microsoft)</t>
  </si>
  <si>
    <t xml:space="preserve">CLD-10</t>
  </si>
  <si>
    <t xml:space="preserve">Service Account &amp; Workload Identity Hygiene</t>
  </si>
  <si>
    <t xml:space="preserve">Secure non-human cloud identities.</t>
  </si>
  <si>
    <t xml:space="preserve">No interactive login. Rotate keys every 90 days or use automated federation. Eliminate long-lived static credentials. Disable unused within 30 days. Least privilege.</t>
  </si>
  <si>
    <t xml:space="preserve">Cloud service accounts (non-human identities) MUST NOT be used for interactive human login. Keys MUST be rotated or managed via automated federation. Unused service accounts MUST be disabled.</t>
  </si>
  <si>
    <t xml:space="preserve">Microsoft: Microsoft Entra Workload ID (managed identities for Azure, eliminating static keys), Microsoft Entra Permissions Management (least privilege enforcement), Azure Key Vault (secret rotation)
Others: HashiCorp Vault, CyberArk Conjur</t>
  </si>
  <si>
    <t xml:space="preserve">P3: Developed Infrastructure — Workload identity for cloud-native gov apps
P2: Sustainable Economy — Service account security for digital platforms</t>
  </si>
  <si>
    <t xml:space="preserve">CLD-11</t>
  </si>
  <si>
    <t xml:space="preserve">Encryption at Rest (Cloud)</t>
  </si>
  <si>
    <t xml:space="preserve">12.4 Cloud Data</t>
  </si>
  <si>
    <t xml:space="preserve">Protect cloud data from unauthorized access.</t>
  </si>
  <si>
    <t xml:space="preserve">All cloud data at rest encrypted. Platform-managed keys as minimum. CMEK MUST be used for Sensitive data. Annual key rotation. Keys in dedicated KMS.</t>
  </si>
  <si>
    <t xml:space="preserve">All data at rest in cloud MUST be encrypted. Platform-managed encryption (default server-side encryption) is acceptable as a minimum standard. Entities MAY implement Customer-Managed Encryption Keys (CMEK) for Sensitive data for greater control.</t>
  </si>
  <si>
    <t xml:space="preserve">SC-28, SC-12</t>
  </si>
  <si>
    <t xml:space="preserve">Microsoft: Azure Storage Service Encryption (SSE — default), Azure Key Vault (CMEK &amp; HSM-backed keys), Azure Confidential Computing, Azure Disk Encryption
Others: Thales CipherTrust, AWS KMS</t>
  </si>
  <si>
    <t xml:space="preserve">P3: Developed Infrastructure — Encryption at rest for gov cloud (sovereignty aligned)
P1: Effective Public Administration — CMEK for Sensitive government data</t>
  </si>
  <si>
    <t xml:space="preserve">CLD-12</t>
  </si>
  <si>
    <t xml:space="preserve">Data Residency</t>
  </si>
  <si>
    <t xml:space="preserve">Comply with sovereignty requirements.</t>
  </si>
  <si>
    <t xml:space="preserve">Customer Content stored/processed per National Data Classification Framework.</t>
  </si>
  <si>
    <t xml:space="preserve">Configure cloud services to store and process Customer Content in accordance with the requirements of the National Data Classification Framework (Decision No. 1 of 2025).</t>
  </si>
  <si>
    <t xml:space="preserve">Microsoft: Azure Region Selection (UAE, Qatar regions available), Azure Policy (region restriction enforcement), Microsoft 365 Multi-Geo
Others: AWS SCP (Bahrain region), GCP Doha</t>
  </si>
  <si>
    <t xml:space="preserve">P1: Effective Public Administration — Data residency for citizen data sovereignty
P3: Developed Infrastructure — Aligned with CITRA data localization requirements</t>
  </si>
  <si>
    <t xml:space="preserve">CIS 3.7, 3.12</t>
  </si>
  <si>
    <t xml:space="preserve">CLD-13</t>
  </si>
  <si>
    <t xml:space="preserve">Operational Metadata Exemption</t>
  </si>
  <si>
    <t xml:space="preserve">Enable platform functionality.</t>
  </si>
  <si>
    <t xml:space="preserve">Residency for Customer Content. Metadata may be processed globally. Metadata identifiers MUST remain non-sensitive.</t>
  </si>
  <si>
    <t xml:space="preserve">The data residency requirement applies to Customer Content. Operational Metadata (resource identifiers, billing data, system status, IP addresses) may be processed in global locations by the CSP for security, reliability, and billing. Metadata identifiers must remain non-sensitive.</t>
  </si>
  <si>
    <t xml:space="preserve">Microsoft: Azure operational metadata handling (built-in compliance), Microsoft Privacy Statement (metadata governance)
Others: CSP-native controls</t>
  </si>
  <si>
    <t xml:space="preserve">P3: Developed Infrastructure — Pragmatic metadata handling for cloud functionality
P2: Sustainable Economy — CSP operational efficiency</t>
  </si>
  <si>
    <t xml:space="preserve">CIS 3.7</t>
  </si>
  <si>
    <t xml:space="preserve">CLD-14</t>
  </si>
  <si>
    <t xml:space="preserve">Public Access Prevention</t>
  </si>
  <si>
    <t xml:space="preserve">Prevent accidental data exposure.</t>
  </si>
  <si>
    <t xml:space="preserve">Block public access by default at organization/account level. Public exposure requires documented exception approved by data owner and cybersecurity function. Automated scanning for public exposure enabled.</t>
  </si>
  <si>
    <t xml:space="preserve">Cloud storage resources MUST be configured to block public access by default. Any public exposure must be an explicit, documented exception.</t>
  </si>
  <si>
    <t xml:space="preserve">A.8.12</t>
  </si>
  <si>
    <t xml:space="preserve">AC-3, AC-22</t>
  </si>
  <si>
    <t xml:space="preserve">Microsoft: Azure Storage (block public access at account/subscription level), Azure Policy (deny public access org-wide), Microsoft Defender for Cloud (misconfiguration alerts for public storage)
Others: Wiz, Prisma Cloud</t>
  </si>
  <si>
    <t xml:space="preserve">P1: Effective Public Administration — Prevents accidental gov data exposure
P3: Developed Infrastructure — Public access prevention for national services</t>
  </si>
  <si>
    <t xml:space="preserve">CIS 3.3, 4.6</t>
  </si>
  <si>
    <t xml:space="preserve">CLD-15</t>
  </si>
  <si>
    <t xml:space="preserve">Cloud Audit Logging</t>
  </si>
  <si>
    <t xml:space="preserve">12.5 Cloud Operations</t>
  </si>
  <si>
    <t xml:space="preserve">Enable cloud forensics and monitoring.</t>
  </si>
  <si>
    <t xml:space="preserve">Logging for all projects: Admin Activity, Data Access (Sensitive), Authentication. Export to Entity-controlled solution. 12-month retention. Immutable/log-locked storage.</t>
  </si>
  <si>
    <t xml:space="preserve">Enable audit logging for all cloud projects/subscriptions. Logs MUST capture Admin Activity (configuration changes) and Data Access (for Sensitive workloads). Export logs to a centralized logging solution. Retain for minimum 12 months.</t>
  </si>
  <si>
    <t xml:space="preserve">A.8.15</t>
  </si>
  <si>
    <t xml:space="preserve">AU-2, AU-6, AU-12</t>
  </si>
  <si>
    <t xml:space="preserve">Microsoft: Azure Monitor / Activity Log (admin &amp; data access logging), Microsoft Sentinel (centralized cloud SIEM with native Azure ingestion), Azure Immutable Blob (tamper-proof log storage)
★ Arcanna.ai: AI-driven cloud audit log analysis — auto-triage cloud security alerts, detect anomalies, integrate with Sentinel
Others: Splunk Cloud, IBM QRadar</t>
  </si>
  <si>
    <t xml:space="preserve">P1: Effective Public Administration — Cloud forensics for government cloud
P3: Developed Infrastructure — Audit logging for national cloud infrastructure</t>
  </si>
  <si>
    <t xml:space="preserve">CIS 8.1, 8.2, 8.11</t>
  </si>
  <si>
    <t xml:space="preserve">CLD-16</t>
  </si>
  <si>
    <t xml:space="preserve">Secure Connectivity</t>
  </si>
  <si>
    <t xml:space="preserve">Protect cloud traffic.</t>
  </si>
  <si>
    <t xml:space="preserve">TLS 1.2+ for all Entity-cloud traffic. Management interfaces not public — use bastions, VPN, or identity-aware proxy.</t>
  </si>
  <si>
    <t xml:space="preserve">All traffic between Entity and cloud MUST use TLS 1.2 or higher. Management interfaces MUST NOT be exposed to public internet.</t>
  </si>
  <si>
    <t xml:space="preserve">A.8.20, A.8.24</t>
  </si>
  <si>
    <t xml:space="preserve">SC-7, SC-8</t>
  </si>
  <si>
    <t xml:space="preserve">Microsoft: Azure ExpressRoute (private connectivity), Azure Bastion (secure RDP/SSH without public IP), Microsoft Entra Private Access (identity-aware proxy)
Others: AWS Direct Connect, GCP Cloud Interconnect</t>
  </si>
  <si>
    <t xml:space="preserve">P3: Developed Infrastructure — Secure gov-cloud hybrid connectivity
P1: Effective Public Administration — Protected management interfaces</t>
  </si>
  <si>
    <t xml:space="preserve">CIS 3.10, 12.6</t>
  </si>
  <si>
    <t xml:space="preserve">CLD-17</t>
  </si>
  <si>
    <t xml:space="preserve">Cloud Security Posture Management</t>
  </si>
  <si>
    <t xml:space="preserve">Tier 1, 2 cloud</t>
  </si>
  <si>
    <t xml:space="preserve">Continuous cloud misconfiguration detection.</t>
  </si>
  <si>
    <t xml:space="preserve">CSPM tool or native posture service for IaaS/PaaS. Scan for: misconfigs, overly permissive IAM, unencrypted storage, public services, compliance drift. Critical findings remediated within 7 days.</t>
  </si>
  <si>
    <t xml:space="preserve">DE.CM, PR.PS</t>
  </si>
  <si>
    <t xml:space="preserve">CA-7, CM-6, RA-5</t>
  </si>
  <si>
    <t xml:space="preserve">Microsoft: Microsoft Defender for Cloud (CSPM — Gartner MQ Leader for Cloud Security), Microsoft Defender Cloud Security Posture Management (misconfiguration, overprivileged IAM, compliance drift detection)
Others: Wiz, Palo Alto Prisma Cloud, Orca Security</t>
  </si>
  <si>
    <t xml:space="preserve">P3: Developed Infrastructure — CSPM for national cloud program posture
P1: Effective Public Administration — Continuous compliance monitoring</t>
  </si>
  <si>
    <t xml:space="preserve">CIS 4.1, 7.7</t>
  </si>
  <si>
    <t xml:space="preserve">CLD-18</t>
  </si>
  <si>
    <t xml:space="preserve">Cloud Network Security</t>
  </si>
  <si>
    <t xml:space="preserve">Segment and protect cloud workloads.</t>
  </si>
  <si>
    <t xml:space="preserve">Cloud-native network controls (security groups, network policies). Default deny. No management ports open to 0.0.0.0/0. Flow logs enabled for Tier 1 workloads.</t>
  </si>
  <si>
    <t xml:space="preserve">Microsoft: Azure NSG / Azure Firewall (cloud network segmentation), Azure Network Watcher (flow logs), Azure Private Link (private endpoint connectivity), Azure Front Door WAF
Others: AWS Security Groups, GCP VPC Firewall, Calico</t>
  </si>
  <si>
    <t xml:space="preserve">P3: Developed Infrastructure — Cloud network security for gov and smart city
P1: Effective Public Administration — Microsegmentation for multi-tenant gov cloud</t>
  </si>
  <si>
    <t xml:space="preserve">CIS 12.2, 12.3</t>
  </si>
  <si>
    <t xml:space="preserve">PR-10.1</t>
  </si>
  <si>
    <t xml:space="preserve">AI Governance &amp; Acceptable Use Policy</t>
  </si>
  <si>
    <t xml:space="preserve">PR — Protect (AI Security)</t>
  </si>
  <si>
    <t xml:space="preserve">8.11 AI Security</t>
  </si>
  <si>
    <t xml:space="preserve">Establish governance framework for AI adoption and use.</t>
  </si>
  <si>
    <t xml:space="preserve">Entities MUST establish an AI governance policy approved by senior management defining: acceptable use of AI (generative AI, copilots, autonomous agents); roles for AI oversight (AI owner, data steward, cybersecurity); approved AI platforms; prohibited uses (Sensitive/Restricted data in unapproved AI); human oversight requirements for AI-assisted decisions affecting citizens. Review annually. All staff MUST receive AI-specific awareness training.</t>
  </si>
  <si>
    <t xml:space="preserve">GV.OC, GV.PO</t>
  </si>
  <si>
    <t xml:space="preserve">A.5.1, A.5.37</t>
  </si>
  <si>
    <t xml:space="preserve">PL-1, PL-2, PM-1</t>
  </si>
  <si>
    <t xml:space="preserve">Microsoft: Microsoft Purview AI Hub (AI usage visibility), M365 Copilot Governance (admin controls), Entra Internet Access (shadow AI detection)
Others: ServiceNow AI Governance, OneTrust</t>
  </si>
  <si>
    <t xml:space="preserve">P1: Effective Public Administration — AI governance for government
P2: Sustainable Economy — AI policy supports innovation
P3: Developed Infrastructure — Governs AI in smart city/e-gov</t>
  </si>
  <si>
    <t xml:space="preserve">CIS 17.1, 17.2</t>
  </si>
  <si>
    <t xml:space="preserve">PR-10.2</t>
  </si>
  <si>
    <t xml:space="preserve">AI System Inventory &amp; Shadow AI Discovery</t>
  </si>
  <si>
    <t xml:space="preserve">Maintain visibility of all AI systems and detect unauthorized AI.</t>
  </si>
  <si>
    <t xml:space="preserve">Entities MUST maintain inventory of all AI systems, models, and services (third-party APIs, SaaS AI, embedded AI, local models). Record: purpose, data classification, provider, location, owner, risk level. Deploy technical controls to detect/block unauthorized AI (shadow AI): browser-based tools, unapproved API calls, unauthorized deployments. Shadow AI scans monthly (Tier 1), quarterly (others).</t>
  </si>
  <si>
    <t xml:space="preserve">ID.AM, GV.OC</t>
  </si>
  <si>
    <t xml:space="preserve">A.5.9, A.5.37</t>
  </si>
  <si>
    <t xml:space="preserve">CM-8, PM-5, SI-4</t>
  </si>
  <si>
    <t xml:space="preserve">Microsoft: Defender for Cloud Apps (shadow AI discovery — 400+ AI apps), Purview AI Hub (AI inventory &amp; data exposure), Entra Internet Access (block unapproved AI), Copilot Dashboard
Others: Netskope, Varonis</t>
  </si>
  <si>
    <t xml:space="preserve">P1: Effective Public Administration — AI visibility across gov entities
P3: Developed Infrastructure — AI inventory for smart city/e-gov</t>
  </si>
  <si>
    <t xml:space="preserve">CIS 2.1, 2.3, 2.5</t>
  </si>
  <si>
    <t xml:space="preserve">PR-10.3</t>
  </si>
  <si>
    <t xml:space="preserve">AI Data Protection &amp; Prompt Security</t>
  </si>
  <si>
    <t xml:space="preserve">Prevent sensitive data leakage into AI and protect against prompt attacks.</t>
  </si>
  <si>
    <t xml:space="preserve">Entities MUST prevent Sensitive/Restricted data submission to unapproved AI. For approved AI: enforce DLP on prompts/outputs; block/redact PII, credentials, classified data in prompts; log AI interactions with Sensitive data; implement prompt injection defenses (input validation, output filtering, guardrails); prohibit Sensitive data for training without approval. For GenAI: disable training-on-input; enforce data residency; enforce tenant isolation.</t>
  </si>
  <si>
    <t xml:space="preserve">PR.DS, PR.AA</t>
  </si>
  <si>
    <t xml:space="preserve">A.8.11, A.5.37</t>
  </si>
  <si>
    <t xml:space="preserve">2-6, 2-8</t>
  </si>
  <si>
    <t xml:space="preserve">SC-7, SI-10, AC-4</t>
  </si>
  <si>
    <t xml:space="preserve">Microsoft: Purview DLP for AI (prevents sensitive data in Copilot/prompts), Purview Sensitivity Labels (auto-classification in AI), Defender for Cloud Apps (AI DLP), Purview Insider Risk (AI misuse)
★ Dope Security: On-device AI traffic inspection — prevents sensitive data exfiltration to unapproved AI endpoints
Others: Nightfall AI, Robust Intelligence</t>
  </si>
  <si>
    <t xml:space="preserve">P1: Effective Public Administration — Protects citizen data in gov AI
P3: Developed Infrastructure — Secures AI in smart city platforms</t>
  </si>
  <si>
    <t xml:space="preserve">CIS 3.1, 3.7, 3.12, 13.6</t>
  </si>
  <si>
    <t xml:space="preserve">PR-10.4</t>
  </si>
  <si>
    <t xml:space="preserve">AI Model &amp; Supply Chain Security</t>
  </si>
  <si>
    <t xml:space="preserve">Ensure AI model integrity and protect against supply chain compromise.</t>
  </si>
  <si>
    <t xml:space="preserve">Entities deploying AI MUST: verify model provenance (signatures, hash verification); maintain AI Bill of Materials (AI-BOM) with source, version, training data, limitations, dependencies; evaluate third-party AI security (data handling, isolation, access); monitor AI framework vulnerabilities (PyTorch, TensorFlow, LangChain, vector DBs); restrict deployment to approved environments. Open-source models: scan for backdoors before deployment. AI APIs: assess provider security, implement rate limiting, auth, logging.</t>
  </si>
  <si>
    <t xml:space="preserve">GV.SC, PR.PS</t>
  </si>
  <si>
    <t xml:space="preserve">A.5.19, A.8.28, A.5.37</t>
  </si>
  <si>
    <t xml:space="preserve">4-1, 2-4</t>
  </si>
  <si>
    <t xml:space="preserve">SA-8, SR-3, SR-4, SA-11</t>
  </si>
  <si>
    <t xml:space="preserve">Microsoft: Defender for Cloud (AI workload protection), Azure AI Content Safety (output filtering), Azure ML (model registry with versioning)
★ Lineaje: SBOM360 — extends supply chain analysis to AI model dependencies, identifies vulnerabilities in AI frameworks/libraries
Others: HiddenLayer, Protect AI, Robust Intelligence</t>
  </si>
  <si>
    <t xml:space="preserve">P2: Sustainable Economy — Protects AI innovation ecosystem
P3: Developed Infrastructure — AI model integrity for gov platforms</t>
  </si>
  <si>
    <t xml:space="preserve">PR-10.5</t>
  </si>
  <si>
    <t xml:space="preserve">AI Access Control &amp; Agent Governance</t>
  </si>
  <si>
    <t xml:space="preserve">Control AI system access and govern autonomous AI agent behavior.</t>
  </si>
  <si>
    <t xml:space="preserve">AI access MUST follow least privilege: deployment/modification requires AI owner + cybersecurity approval; admin interfaces protected with MFA; API keys managed as privileged credentials (per PR-2.8) with rotation and logging; access to AI outputs with Sensitive data restricted by classification. Agentic AI (autonomous agents) MUST: operate under explicit permission boundaries; use least-privilege system/data access; have human-approved action scope; implement kill-switch for anomalous behavior; maintain audit trail of all autonomous actions.</t>
  </si>
  <si>
    <t xml:space="preserve">A.5.15, A.5.37, A.8.3</t>
  </si>
  <si>
    <t xml:space="preserve">AC-2, AC-3, AC-6, IA-2</t>
  </si>
  <si>
    <t xml:space="preserve">Microsoft: Entra Agent ID (identity governance for AI agents), Entra Workload ID (managed identities for AI), Entra PIM (JIT for AI admin), Azure AI (role-based model access)
★ Callsign: Behavioral biometrics for AI admin access — ensures authorized human identity for AI modifications
Others: CyberArk PAM, HashiCorp Vault</t>
  </si>
  <si>
    <t xml:space="preserve">P1: Effective Public Administration — AI access governance
P3: Developed Infrastructure — AI agent controls in smart city</t>
  </si>
  <si>
    <t xml:space="preserve">CIS 5.1, 5.4, 6.3, 6.5</t>
  </si>
  <si>
    <t xml:space="preserve">PR-10.6</t>
  </si>
  <si>
    <t xml:space="preserve">AI Monitoring, Logging &amp; Incident Response</t>
  </si>
  <si>
    <t xml:space="preserve">Monitor AI behavior and respond to AI-specific security incidents.</t>
  </si>
  <si>
    <t xml:space="preserve">Entities operating AI MUST: log interactions (prompts, responses, decisions) for Sensitive use cases; monitor for anomalous behavior (hallucinations, jailbreaks, prompt injection, data exfiltration); integrate AI alerts into SIEM/SOC; include AI scenarios in IR (model compromise, data poisoning, prompt injection, AI misinformation, unauthorized agent actions); report AI incidents to NCSC per RS-1. Agentic AI: implement runtime monitoring with kill-switch to halt autonomous actions on anomaly detection.</t>
  </si>
  <si>
    <t xml:space="preserve">DE.CM, DE.AE, RS.MA</t>
  </si>
  <si>
    <t xml:space="preserve">A.8.15, A.8.16, A.5.37</t>
  </si>
  <si>
    <t xml:space="preserve">2-11, 3-1</t>
  </si>
  <si>
    <t xml:space="preserve">AU-2, AU-12, SI-4, IR-4</t>
  </si>
  <si>
    <t xml:space="preserve">Microsoft: Sentinel (AI security monitoring via Defender connector), Defender for Cloud (AI threat detection), Purview Audit (AI logging), Security Copilot (AI incident investigation)
★ Arcanna.ai: AI-driven SOC — auto-triages AI security alerts alongside traditional alerts, unified AI+cyber incident management
Others: HiddenLayer, Protect AI, Robust Intelligence</t>
  </si>
  <si>
    <t xml:space="preserve">P1: Effective Public Administration — AI accountability/audit
P3: Developed Infrastructure — AI monitoring for critical infra
P7: Global Positioning — AI governance maturity</t>
  </si>
  <si>
    <t xml:space="preserve">CIS 8.1, 8.2, 8.11, 17.4</t>
  </si>
  <si>
    <t xml:space="preserve">Metric</t>
  </si>
  <si>
    <t xml:space="preserve">Value</t>
  </si>
  <si>
    <t xml:space="preserve">Total Controls</t>
  </si>
  <si>
    <t xml:space="preserve">Baseline Controls (non-cloud)</t>
  </si>
  <si>
    <t xml:space="preserve">Cloud Controls</t>
  </si>
  <si>
    <t xml:space="preserve">P0 Critical</t>
  </si>
  <si>
    <t xml:space="preserve">P1 High</t>
  </si>
  <si>
    <t xml:space="preserve">P2 Medium</t>
  </si>
  <si>
    <t xml:space="preserve">Wave 1 (Survive)</t>
  </si>
  <si>
    <t xml:space="preserve">Wave 2 (Defend)</t>
  </si>
  <si>
    <t xml:space="preserve">Wave 3 (Mature)</t>
  </si>
  <si>
    <t xml:space="preserve">New Controls</t>
  </si>
  <si>
    <t xml:space="preserve">Kuwait Vision 2035 Pillar Coverage</t>
  </si>
  <si>
    <t xml:space="preserve">P1: Effective Public Administration</t>
  </si>
  <si>
    <t xml:space="preserve">P2: Sustainable Diversified Economy</t>
  </si>
  <si>
    <t xml:space="preserve">P3: Developed Infrastructure</t>
  </si>
  <si>
    <t xml:space="preserve">P4: Sustainable Living Environment</t>
  </si>
  <si>
    <t xml:space="preserve">P5: High Quality Healthcare</t>
  </si>
  <si>
    <t xml:space="preserve">P6: Creative Human Capital</t>
  </si>
  <si>
    <t xml:space="preserve">P7: Global Positioning</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</si>
</sst>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sz val="9"/>
      <name val="Calibri"/>
      <family val="0"/>
      <charset val="1"/>
    </font>
    <font>
      <b val="true"/>
      <sz val="9"/>
      <name val="Calibri"/>
      <family val="0"/>
      <charset val="1"/>
    </font>
  </fonts>
  <fills count="18">
    <fill>
      <patternFill patternType="none"/>
    </fill>
    <fill>
      <patternFill patternType="gray125"/>
    </fill>
    <fill>
      <patternFill patternType="solid">
        <fgColor rgb="FF0B1120"/>
        <bgColor rgb="FF000000"/>
      </patternFill>
    </fill>
    <fill>
      <patternFill patternType="solid">
        <fgColor rgb="FF460073"/>
        <bgColor rgb="FF800080"/>
      </patternFill>
    </fill>
    <fill>
      <patternFill patternType="solid">
        <fgColor rgb="FF007A3D"/>
        <bgColor rgb="FF008080"/>
      </patternFill>
    </fill>
    <fill>
      <patternFill patternType="solid">
        <fgColor rgb="FFEDE9FE"/>
        <bgColor rgb="FFE0E7FF"/>
      </patternFill>
    </fill>
    <fill>
      <patternFill patternType="solid">
        <fgColor rgb="FFFEE2E2"/>
        <bgColor rgb="FFEDE9FE"/>
      </patternFill>
    </fill>
    <fill>
      <patternFill patternType="solid">
        <fgColor rgb="FFFEF9C3"/>
        <bgColor rgb="FFFEF3C7"/>
      </patternFill>
    </fill>
    <fill>
      <patternFill patternType="solid">
        <fgColor rgb="FFFFF7ED"/>
        <bgColor rgb="FFFFFFFF"/>
      </patternFill>
    </fill>
    <fill>
      <patternFill patternType="solid">
        <fgColor rgb="FFF0F4FF"/>
        <bgColor rgb="FFF5F3FF"/>
      </patternFill>
    </fill>
    <fill>
      <patternFill patternType="solid">
        <fgColor rgb="FFF0FDF4"/>
        <bgColor rgb="FFF0F4FF"/>
      </patternFill>
    </fill>
    <fill>
      <patternFill patternType="solid">
        <fgColor rgb="FFFEF3C7"/>
        <bgColor rgb="FFFEF9C3"/>
      </patternFill>
    </fill>
    <fill>
      <patternFill patternType="solid">
        <fgColor rgb="FFDCFCE7"/>
        <bgColor rgb="FFD1FAE5"/>
      </patternFill>
    </fill>
    <fill>
      <patternFill patternType="solid">
        <fgColor rgb="FFDBEAFE"/>
        <bgColor rgb="FFE0E7FF"/>
      </patternFill>
    </fill>
    <fill>
      <patternFill patternType="solid">
        <fgColor rgb="FFF5F3FF"/>
        <bgColor rgb="FFF0F4FF"/>
      </patternFill>
    </fill>
    <fill>
      <patternFill patternType="solid">
        <fgColor rgb="FFCCFBF1"/>
        <bgColor rgb="FFD1FAE5"/>
      </patternFill>
    </fill>
    <fill>
      <patternFill patternType="solid">
        <fgColor rgb="FFD1FAE5"/>
        <bgColor rgb="FFCCFBF1"/>
      </patternFill>
    </fill>
    <fill>
      <patternFill patternType="solid">
        <fgColor rgb="FFE0E7FF"/>
        <bgColor rgb="FFDBEAFE"/>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top" textRotation="0" wrapText="true" indent="0" shrinkToFit="false"/>
      <protection locked="true" hidden="false"/>
    </xf>
    <xf numFmtId="164" fontId="6" fillId="13" borderId="1" xfId="0" applyFont="true" applyBorder="true" applyAlignment="true" applyProtection="false">
      <alignment horizontal="general" vertical="top" textRotation="0" wrapText="true" indent="0" shrinkToFit="false"/>
      <protection locked="true" hidden="false"/>
    </xf>
    <xf numFmtId="164" fontId="5" fillId="14" borderId="1" xfId="0" applyFont="true" applyBorder="true" applyAlignment="true" applyProtection="false">
      <alignment horizontal="general" vertical="top" textRotation="0" wrapText="true" indent="0" shrinkToFit="false"/>
      <protection locked="true" hidden="false"/>
    </xf>
    <xf numFmtId="164" fontId="6" fillId="15" borderId="1" xfId="0" applyFont="true" applyBorder="true" applyAlignment="true" applyProtection="false">
      <alignment horizontal="general" vertical="top" textRotation="0" wrapText="true" indent="0" shrinkToFit="false"/>
      <protection locked="true" hidden="false"/>
    </xf>
    <xf numFmtId="164" fontId="6" fillId="16" borderId="1" xfId="0" applyFont="true" applyBorder="true" applyAlignment="true" applyProtection="false">
      <alignment horizontal="general" vertical="top" textRotation="0" wrapText="true" indent="0" shrinkToFit="false"/>
      <protection locked="true" hidden="false"/>
    </xf>
    <xf numFmtId="164" fontId="6" fillId="17"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0B1120"/>
          <bgColor rgb="FF000000"/>
        </patternFill>
      </fill>
    </dxf>
    <dxf>
      <fill>
        <patternFill patternType="solid">
          <bgColor rgb="FF000000"/>
        </patternFill>
      </fill>
    </dxf>
    <dxf>
      <fill>
        <patternFill patternType="solid">
          <fgColor rgb="FFFFFFFF"/>
          <bgColor rgb="FF000000"/>
        </patternFill>
      </fill>
    </dxf>
    <dxf>
      <fill>
        <patternFill patternType="solid">
          <fgColor rgb="FFCCFBF1"/>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E0E7FF"/>
          <bgColor rgb="FF000000"/>
        </patternFill>
      </fill>
    </dxf>
    <dxf>
      <fill>
        <patternFill patternType="solid">
          <fgColor rgb="FFEDE9FE"/>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DCFCE7"/>
          <bgColor rgb="FF000000"/>
        </patternFill>
      </fill>
    </dxf>
    <dxf>
      <fill>
        <patternFill patternType="solid">
          <fgColor rgb="FFFEF9C3"/>
          <bgColor rgb="FF000000"/>
        </patternFill>
      </fill>
    </dxf>
    <dxf>
      <fill>
        <patternFill patternType="solid">
          <fgColor rgb="FF460073"/>
          <bgColor rgb="FF000000"/>
        </patternFill>
      </fill>
    </dxf>
    <dxf>
      <fill>
        <patternFill patternType="solid">
          <fgColor rgb="FFFFF7ED"/>
          <bgColor rgb="FF000000"/>
        </patternFill>
      </fill>
    </dxf>
    <dxf>
      <fill>
        <patternFill patternType="solid">
          <fgColor rgb="FFF0F4FF"/>
          <bgColor rgb="FF000000"/>
        </patternFill>
      </fill>
    </dxf>
    <dxf>
      <fill>
        <patternFill patternType="solid">
          <fgColor rgb="FFF5F3FF"/>
          <bgColor rgb="FF000000"/>
        </patternFill>
      </fill>
    </dxf>
    <dxf>
      <fill>
        <patternFill patternType="solid">
          <fgColor rgb="FF007A3D"/>
          <bgColor rgb="FF000000"/>
        </patternFill>
      </fill>
    </dxf>
    <dxf>
      <fill>
        <patternFill patternType="solid">
          <fgColor rgb="FFF0FDF4"/>
          <bgColor rgb="FF000000"/>
        </patternFill>
      </fill>
    </dxf>
  </dxfs>
  <colors>
    <indexedColors>
      <rgbColor rgb="FF000000"/>
      <rgbColor rgb="FFFFFFFF"/>
      <rgbColor rgb="FFFF0000"/>
      <rgbColor rgb="FF00FF00"/>
      <rgbColor rgb="FF0000FF"/>
      <rgbColor rgb="FFFFF7ED"/>
      <rgbColor rgb="FFFF00FF"/>
      <rgbColor rgb="FF00FFFF"/>
      <rgbColor rgb="FF800000"/>
      <rgbColor rgb="FF007A3D"/>
      <rgbColor rgb="FF000080"/>
      <rgbColor rgb="FF808000"/>
      <rgbColor rgb="FF800080"/>
      <rgbColor rgb="FF008080"/>
      <rgbColor rgb="FFE0E7FF"/>
      <rgbColor rgb="FF808080"/>
      <rgbColor rgb="FFF0F4FF"/>
      <rgbColor rgb="FF993366"/>
      <rgbColor rgb="FFFEF9C3"/>
      <rgbColor rgb="FFCCFBF1"/>
      <rgbColor rgb="FF460073"/>
      <rgbColor rgb="FFFF8080"/>
      <rgbColor rgb="FF0066CC"/>
      <rgbColor rgb="FFD1D5DB"/>
      <rgbColor rgb="FF000080"/>
      <rgbColor rgb="FFFF00FF"/>
      <rgbColor rgb="FFF0FDF4"/>
      <rgbColor rgb="FF00FFFF"/>
      <rgbColor rgb="FF800080"/>
      <rgbColor rgb="FF800000"/>
      <rgbColor rgb="FF008080"/>
      <rgbColor rgb="FF0000FF"/>
      <rgbColor rgb="FF00CCFF"/>
      <rgbColor rgb="FFDCFCE7"/>
      <rgbColor rgb="FFD1FAE5"/>
      <rgbColor rgb="FFFEF3C7"/>
      <rgbColor rgb="FFDBEAFE"/>
      <rgbColor rgb="FFF5F3FF"/>
      <rgbColor rgb="FFEDE9FE"/>
      <rgbColor rgb="FFFEE2E2"/>
      <rgbColor rgb="FF3366FF"/>
      <rgbColor rgb="FF33CCCC"/>
      <rgbColor rgb="FF99CC00"/>
      <rgbColor rgb="FFFFCC00"/>
      <rgbColor rgb="FFFF9900"/>
      <rgbColor rgb="FFFF6600"/>
      <rgbColor rgb="FF666699"/>
      <rgbColor rgb="FF969696"/>
      <rgbColor rgb="FF003366"/>
      <rgbColor rgb="FF339966"/>
      <rgbColor rgb="FF0B112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6"/>
    <col collapsed="false" customWidth="true" hidden="false" outlineLevel="0" max="4" min="4" style="1" width="14"/>
    <col collapsed="false" customWidth="true" hidden="false" outlineLevel="0" max="5" min="5" style="1" width="10"/>
    <col collapsed="false" customWidth="true" hidden="false" outlineLevel="0" max="6" min="6" style="1" width="8"/>
    <col collapsed="false" customWidth="true" hidden="false" outlineLevel="0" max="7" min="7" style="1" width="12"/>
    <col collapsed="false" customWidth="true" hidden="false" outlineLevel="0" max="8" min="8" style="1" width="10"/>
    <col collapsed="false" customWidth="true" hidden="false" outlineLevel="0" max="9" min="9" style="1" width="28"/>
    <col collapsed="false" customWidth="true" hidden="false" outlineLevel="0" max="10" min="10" style="1" width="55"/>
    <col collapsed="false" customWidth="true" hidden="false" outlineLevel="0" max="11" min="11" style="1" width="50"/>
    <col collapsed="false" customWidth="true" hidden="false" outlineLevel="0" max="12" min="12" style="1" width="16"/>
    <col collapsed="false" customWidth="true" hidden="false" outlineLevel="0" max="13" min="13" style="1" width="12"/>
    <col collapsed="false" customWidth="true" hidden="false" outlineLevel="0" max="14" min="14" style="1" width="16"/>
    <col collapsed="false" customWidth="true" hidden="false" outlineLevel="0" max="15" min="15" style="1" width="50"/>
    <col collapsed="false" customWidth="true" hidden="false" outlineLevel="0" max="16" min="16" style="1" width="42"/>
    <col collapsed="false" customWidth="true" hidden="false" outlineLevel="0" max="17" min="17" style="0" width="22"/>
  </cols>
  <sheetData>
    <row r="1" customFormat="false" ht="34.5" hidden="false" customHeight="true" outlineLevel="0" collapsed="false">
      <c r="A1" s="2" t="s">
        <v>0</v>
      </c>
      <c r="B1" s="2" t="s">
        <v>1</v>
      </c>
      <c r="C1" s="2" t="s">
        <v>2</v>
      </c>
      <c r="D1" s="2" t="s">
        <v>3</v>
      </c>
      <c r="E1" s="2" t="s">
        <v>4</v>
      </c>
      <c r="F1" s="2" t="s">
        <v>5</v>
      </c>
      <c r="G1" s="2" t="s">
        <v>6</v>
      </c>
      <c r="H1" s="2" t="s">
        <v>7</v>
      </c>
      <c r="I1" s="2" t="s">
        <v>8</v>
      </c>
      <c r="J1" s="2" t="s">
        <v>9</v>
      </c>
      <c r="K1" s="3" t="s">
        <v>10</v>
      </c>
      <c r="L1" s="2" t="s">
        <v>11</v>
      </c>
      <c r="M1" s="2" t="s">
        <v>12</v>
      </c>
      <c r="N1" s="2" t="s">
        <v>13</v>
      </c>
      <c r="O1" s="2" t="s">
        <v>14</v>
      </c>
      <c r="P1" s="2" t="s">
        <v>15</v>
      </c>
      <c r="Q1" s="4" t="s">
        <v>16</v>
      </c>
      <c r="R1" s="2" t="s">
        <v>17</v>
      </c>
    </row>
    <row r="2" customFormat="false" ht="84.75" hidden="false" customHeight="true" outlineLevel="0" collapsed="false">
      <c r="A2" s="5" t="s">
        <v>18</v>
      </c>
      <c r="B2" s="5" t="s">
        <v>19</v>
      </c>
      <c r="C2" s="6" t="s">
        <v>20</v>
      </c>
      <c r="D2" s="5" t="s">
        <v>21</v>
      </c>
      <c r="E2" s="7" t="s">
        <v>22</v>
      </c>
      <c r="F2" s="5" t="s">
        <v>23</v>
      </c>
      <c r="G2" s="5" t="s">
        <v>24</v>
      </c>
      <c r="H2" s="8" t="s">
        <v>25</v>
      </c>
      <c r="I2" s="5" t="s">
        <v>26</v>
      </c>
      <c r="J2" s="5" t="s">
        <v>27</v>
      </c>
      <c r="K2" s="9" t="s">
        <v>28</v>
      </c>
      <c r="L2" s="5" t="s">
        <v>29</v>
      </c>
      <c r="M2" s="5" t="s">
        <v>30</v>
      </c>
      <c r="N2" s="5" t="s">
        <v>31</v>
      </c>
      <c r="O2" s="5" t="s">
        <v>32</v>
      </c>
      <c r="P2" s="10" t="s">
        <v>33</v>
      </c>
      <c r="Q2" s="11" t="s">
        <v>34</v>
      </c>
      <c r="R2" s="5" t="s">
        <v>35</v>
      </c>
    </row>
    <row r="3" customFormat="false" ht="84.75" hidden="false" customHeight="true" outlineLevel="0" collapsed="false">
      <c r="A3" s="5" t="s">
        <v>36</v>
      </c>
      <c r="B3" s="5" t="s">
        <v>37</v>
      </c>
      <c r="C3" s="6" t="s">
        <v>20</v>
      </c>
      <c r="D3" s="5" t="s">
        <v>21</v>
      </c>
      <c r="E3" s="12" t="s">
        <v>38</v>
      </c>
      <c r="F3" s="5" t="s">
        <v>39</v>
      </c>
      <c r="G3" s="5" t="s">
        <v>24</v>
      </c>
      <c r="H3" s="8" t="s">
        <v>25</v>
      </c>
      <c r="I3" s="5" t="s">
        <v>40</v>
      </c>
      <c r="J3" s="5" t="s">
        <v>41</v>
      </c>
      <c r="K3" s="9" t="s">
        <v>42</v>
      </c>
      <c r="L3" s="5" t="s">
        <v>43</v>
      </c>
      <c r="M3" s="5" t="s">
        <v>44</v>
      </c>
      <c r="N3" s="5" t="s">
        <v>45</v>
      </c>
      <c r="O3" s="5" t="s">
        <v>46</v>
      </c>
      <c r="P3" s="10" t="s">
        <v>47</v>
      </c>
      <c r="Q3" s="11" t="s">
        <v>48</v>
      </c>
      <c r="R3" s="5" t="s">
        <v>49</v>
      </c>
    </row>
    <row r="4" customFormat="false" ht="84.75" hidden="false" customHeight="true" outlineLevel="0" collapsed="false">
      <c r="A4" s="5" t="s">
        <v>50</v>
      </c>
      <c r="B4" s="5" t="s">
        <v>51</v>
      </c>
      <c r="C4" s="6" t="s">
        <v>20</v>
      </c>
      <c r="D4" s="5" t="s">
        <v>21</v>
      </c>
      <c r="E4" s="12" t="s">
        <v>38</v>
      </c>
      <c r="F4" s="5" t="s">
        <v>39</v>
      </c>
      <c r="G4" s="5" t="s">
        <v>24</v>
      </c>
      <c r="H4" s="13" t="s">
        <v>52</v>
      </c>
      <c r="I4" s="5" t="s">
        <v>53</v>
      </c>
      <c r="J4" s="5" t="s">
        <v>54</v>
      </c>
      <c r="K4" s="9" t="s">
        <v>55</v>
      </c>
      <c r="L4" s="5" t="s">
        <v>56</v>
      </c>
      <c r="M4" s="5" t="s">
        <v>57</v>
      </c>
      <c r="N4" s="5" t="s">
        <v>58</v>
      </c>
      <c r="O4" s="5" t="s">
        <v>59</v>
      </c>
      <c r="P4" s="10" t="s">
        <v>60</v>
      </c>
      <c r="Q4" s="11" t="s">
        <v>61</v>
      </c>
      <c r="R4" s="5" t="s">
        <v>62</v>
      </c>
    </row>
    <row r="5" customFormat="false" ht="84.75" hidden="false" customHeight="true" outlineLevel="0" collapsed="false">
      <c r="A5" s="5" t="s">
        <v>63</v>
      </c>
      <c r="B5" s="5" t="s">
        <v>64</v>
      </c>
      <c r="C5" s="6" t="s">
        <v>20</v>
      </c>
      <c r="D5" s="5" t="s">
        <v>21</v>
      </c>
      <c r="E5" s="14" t="s">
        <v>65</v>
      </c>
      <c r="F5" s="5" t="s">
        <v>66</v>
      </c>
      <c r="G5" s="5" t="s">
        <v>24</v>
      </c>
      <c r="H5" s="8" t="s">
        <v>25</v>
      </c>
      <c r="I5" s="5" t="s">
        <v>67</v>
      </c>
      <c r="J5" s="5" t="s">
        <v>68</v>
      </c>
      <c r="K5" s="9" t="s">
        <v>69</v>
      </c>
      <c r="L5" s="5" t="s">
        <v>70</v>
      </c>
      <c r="M5" s="5" t="s">
        <v>71</v>
      </c>
      <c r="N5" s="5" t="s">
        <v>72</v>
      </c>
      <c r="O5" s="5" t="s">
        <v>73</v>
      </c>
      <c r="P5" s="10" t="s">
        <v>74</v>
      </c>
      <c r="Q5" s="11" t="s">
        <v>75</v>
      </c>
      <c r="R5" s="5" t="s">
        <v>76</v>
      </c>
    </row>
    <row r="6" customFormat="false" ht="84.75" hidden="false" customHeight="true" outlineLevel="0" collapsed="false">
      <c r="A6" s="5" t="s">
        <v>77</v>
      </c>
      <c r="B6" s="5" t="s">
        <v>78</v>
      </c>
      <c r="C6" s="6" t="s">
        <v>20</v>
      </c>
      <c r="D6" s="5" t="s">
        <v>21</v>
      </c>
      <c r="E6" s="12" t="s">
        <v>38</v>
      </c>
      <c r="F6" s="5" t="s">
        <v>39</v>
      </c>
      <c r="G6" s="5" t="s">
        <v>24</v>
      </c>
      <c r="H6" s="8" t="s">
        <v>25</v>
      </c>
      <c r="I6" s="5" t="s">
        <v>79</v>
      </c>
      <c r="J6" s="5" t="s">
        <v>80</v>
      </c>
      <c r="K6" s="9" t="s">
        <v>81</v>
      </c>
      <c r="L6" s="5" t="s">
        <v>82</v>
      </c>
      <c r="M6" s="5" t="s">
        <v>83</v>
      </c>
      <c r="N6" s="5" t="s">
        <v>84</v>
      </c>
      <c r="O6" s="5" t="s">
        <v>85</v>
      </c>
      <c r="P6" s="10" t="s">
        <v>86</v>
      </c>
      <c r="Q6" s="11" t="s">
        <v>87</v>
      </c>
      <c r="R6" s="5" t="s">
        <v>88</v>
      </c>
    </row>
    <row r="7" customFormat="false" ht="84.75" hidden="false" customHeight="true" outlineLevel="0" collapsed="false">
      <c r="A7" s="5" t="s">
        <v>89</v>
      </c>
      <c r="B7" s="5" t="s">
        <v>90</v>
      </c>
      <c r="C7" s="6" t="s">
        <v>20</v>
      </c>
      <c r="D7" s="5" t="s">
        <v>21</v>
      </c>
      <c r="E7" s="12" t="s">
        <v>38</v>
      </c>
      <c r="F7" s="5" t="s">
        <v>39</v>
      </c>
      <c r="G7" s="5" t="s">
        <v>24</v>
      </c>
      <c r="H7" s="8" t="s">
        <v>25</v>
      </c>
      <c r="I7" s="5" t="s">
        <v>91</v>
      </c>
      <c r="J7" s="5" t="s">
        <v>92</v>
      </c>
      <c r="K7" s="9" t="s">
        <v>93</v>
      </c>
      <c r="L7" s="5" t="s">
        <v>94</v>
      </c>
      <c r="M7" s="5" t="s">
        <v>95</v>
      </c>
      <c r="N7" s="5" t="s">
        <v>96</v>
      </c>
      <c r="O7" s="5" t="s">
        <v>97</v>
      </c>
      <c r="P7" s="15" t="s">
        <v>98</v>
      </c>
      <c r="Q7" s="11" t="s">
        <v>99</v>
      </c>
      <c r="R7" s="5" t="s">
        <v>100</v>
      </c>
    </row>
    <row r="8" customFormat="false" ht="84.75" hidden="false" customHeight="true" outlineLevel="0" collapsed="false">
      <c r="A8" s="5" t="s">
        <v>101</v>
      </c>
      <c r="B8" s="5" t="s">
        <v>102</v>
      </c>
      <c r="C8" s="6" t="s">
        <v>20</v>
      </c>
      <c r="D8" s="5" t="s">
        <v>21</v>
      </c>
      <c r="E8" s="12" t="s">
        <v>38</v>
      </c>
      <c r="F8" s="5" t="s">
        <v>39</v>
      </c>
      <c r="G8" s="5" t="s">
        <v>103</v>
      </c>
      <c r="H8" s="14" t="s">
        <v>104</v>
      </c>
      <c r="I8" s="5" t="s">
        <v>105</v>
      </c>
      <c r="J8" s="5" t="s">
        <v>106</v>
      </c>
      <c r="K8" s="5"/>
      <c r="L8" s="5" t="s">
        <v>94</v>
      </c>
      <c r="M8" s="5" t="s">
        <v>107</v>
      </c>
      <c r="N8" s="5" t="s">
        <v>96</v>
      </c>
      <c r="O8" s="5" t="s">
        <v>108</v>
      </c>
      <c r="P8" s="15" t="s">
        <v>109</v>
      </c>
      <c r="Q8" s="11" t="s">
        <v>110</v>
      </c>
      <c r="R8" s="5" t="s">
        <v>111</v>
      </c>
    </row>
    <row r="9" customFormat="false" ht="84.75" hidden="false" customHeight="true" outlineLevel="0" collapsed="false">
      <c r="A9" s="5" t="s">
        <v>112</v>
      </c>
      <c r="B9" s="5" t="s">
        <v>113</v>
      </c>
      <c r="C9" s="6" t="s">
        <v>20</v>
      </c>
      <c r="D9" s="5" t="s">
        <v>21</v>
      </c>
      <c r="E9" s="14" t="s">
        <v>65</v>
      </c>
      <c r="F9" s="5" t="s">
        <v>66</v>
      </c>
      <c r="G9" s="5" t="s">
        <v>24</v>
      </c>
      <c r="H9" s="14" t="s">
        <v>104</v>
      </c>
      <c r="I9" s="5" t="s">
        <v>114</v>
      </c>
      <c r="J9" s="5" t="s">
        <v>115</v>
      </c>
      <c r="K9" s="5"/>
      <c r="L9" s="5" t="s">
        <v>56</v>
      </c>
      <c r="M9" s="5" t="s">
        <v>116</v>
      </c>
      <c r="N9" s="5" t="s">
        <v>117</v>
      </c>
      <c r="O9" s="5" t="s">
        <v>118</v>
      </c>
      <c r="P9" s="10" t="s">
        <v>119</v>
      </c>
      <c r="Q9" s="11" t="s">
        <v>120</v>
      </c>
      <c r="R9" s="5" t="s">
        <v>121</v>
      </c>
    </row>
    <row r="10" customFormat="false" ht="84.75" hidden="false" customHeight="true" outlineLevel="0" collapsed="false">
      <c r="A10" s="5" t="s">
        <v>122</v>
      </c>
      <c r="B10" s="5" t="s">
        <v>123</v>
      </c>
      <c r="C10" s="14" t="s">
        <v>124</v>
      </c>
      <c r="D10" s="5" t="s">
        <v>125</v>
      </c>
      <c r="E10" s="7" t="s">
        <v>22</v>
      </c>
      <c r="F10" s="5" t="s">
        <v>23</v>
      </c>
      <c r="G10" s="5" t="s">
        <v>24</v>
      </c>
      <c r="H10" s="8" t="s">
        <v>25</v>
      </c>
      <c r="I10" s="5" t="s">
        <v>126</v>
      </c>
      <c r="J10" s="5" t="s">
        <v>127</v>
      </c>
      <c r="K10" s="9" t="s">
        <v>128</v>
      </c>
      <c r="L10" s="5" t="s">
        <v>129</v>
      </c>
      <c r="M10" s="5" t="s">
        <v>130</v>
      </c>
      <c r="N10" s="5" t="s">
        <v>131</v>
      </c>
      <c r="O10" s="5" t="s">
        <v>132</v>
      </c>
      <c r="P10" s="15" t="s">
        <v>133</v>
      </c>
      <c r="Q10" s="11" t="s">
        <v>134</v>
      </c>
      <c r="R10" s="5" t="s">
        <v>135</v>
      </c>
    </row>
    <row r="11" customFormat="false" ht="84.75" hidden="false" customHeight="true" outlineLevel="0" collapsed="false">
      <c r="A11" s="5" t="s">
        <v>136</v>
      </c>
      <c r="B11" s="5" t="s">
        <v>137</v>
      </c>
      <c r="C11" s="14" t="s">
        <v>124</v>
      </c>
      <c r="D11" s="5" t="s">
        <v>125</v>
      </c>
      <c r="E11" s="7" t="s">
        <v>22</v>
      </c>
      <c r="F11" s="5" t="s">
        <v>23</v>
      </c>
      <c r="G11" s="5" t="s">
        <v>24</v>
      </c>
      <c r="H11" s="8" t="s">
        <v>25</v>
      </c>
      <c r="I11" s="5" t="s">
        <v>138</v>
      </c>
      <c r="J11" s="5" t="s">
        <v>139</v>
      </c>
      <c r="K11" s="9" t="s">
        <v>140</v>
      </c>
      <c r="L11" s="5" t="s">
        <v>129</v>
      </c>
      <c r="M11" s="5" t="s">
        <v>141</v>
      </c>
      <c r="N11" s="5" t="s">
        <v>131</v>
      </c>
      <c r="O11" s="5" t="s">
        <v>142</v>
      </c>
      <c r="P11" s="10" t="s">
        <v>143</v>
      </c>
      <c r="Q11" s="11" t="s">
        <v>144</v>
      </c>
      <c r="R11" s="5" t="s">
        <v>145</v>
      </c>
    </row>
    <row r="12" customFormat="false" ht="84.75" hidden="false" customHeight="true" outlineLevel="0" collapsed="false">
      <c r="A12" s="5" t="s">
        <v>146</v>
      </c>
      <c r="B12" s="5" t="s">
        <v>147</v>
      </c>
      <c r="C12" s="14" t="s">
        <v>124</v>
      </c>
      <c r="D12" s="5" t="s">
        <v>125</v>
      </c>
      <c r="E12" s="7" t="s">
        <v>22</v>
      </c>
      <c r="F12" s="5" t="s">
        <v>23</v>
      </c>
      <c r="G12" s="5" t="s">
        <v>24</v>
      </c>
      <c r="H12" s="8" t="s">
        <v>25</v>
      </c>
      <c r="I12" s="5" t="s">
        <v>148</v>
      </c>
      <c r="J12" s="5" t="s">
        <v>149</v>
      </c>
      <c r="K12" s="9" t="s">
        <v>150</v>
      </c>
      <c r="L12" s="5" t="s">
        <v>129</v>
      </c>
      <c r="M12" s="5" t="s">
        <v>151</v>
      </c>
      <c r="N12" s="5" t="s">
        <v>152</v>
      </c>
      <c r="O12" s="5" t="s">
        <v>153</v>
      </c>
      <c r="P12" s="10" t="s">
        <v>154</v>
      </c>
      <c r="Q12" s="11" t="s">
        <v>155</v>
      </c>
      <c r="R12" s="5" t="s">
        <v>156</v>
      </c>
    </row>
    <row r="13" customFormat="false" ht="84.75" hidden="false" customHeight="true" outlineLevel="0" collapsed="false">
      <c r="A13" s="5" t="s">
        <v>157</v>
      </c>
      <c r="B13" s="5" t="s">
        <v>158</v>
      </c>
      <c r="C13" s="14" t="s">
        <v>124</v>
      </c>
      <c r="D13" s="5" t="s">
        <v>125</v>
      </c>
      <c r="E13" s="7" t="s">
        <v>22</v>
      </c>
      <c r="F13" s="5" t="s">
        <v>23</v>
      </c>
      <c r="G13" s="5" t="s">
        <v>103</v>
      </c>
      <c r="H13" s="14" t="s">
        <v>104</v>
      </c>
      <c r="I13" s="5" t="s">
        <v>159</v>
      </c>
      <c r="J13" s="5" t="s">
        <v>160</v>
      </c>
      <c r="K13" s="5"/>
      <c r="L13" s="5" t="s">
        <v>161</v>
      </c>
      <c r="M13" s="5" t="s">
        <v>162</v>
      </c>
      <c r="N13" s="5" t="s">
        <v>163</v>
      </c>
      <c r="O13" s="5" t="s">
        <v>164</v>
      </c>
      <c r="P13" s="10" t="s">
        <v>165</v>
      </c>
      <c r="Q13" s="11" t="s">
        <v>166</v>
      </c>
      <c r="R13" s="5" t="s">
        <v>167</v>
      </c>
    </row>
    <row r="14" customFormat="false" ht="84.75" hidden="false" customHeight="true" outlineLevel="0" collapsed="false">
      <c r="A14" s="5" t="s">
        <v>168</v>
      </c>
      <c r="B14" s="5" t="s">
        <v>169</v>
      </c>
      <c r="C14" s="16" t="s">
        <v>170</v>
      </c>
      <c r="D14" s="5" t="s">
        <v>171</v>
      </c>
      <c r="E14" s="7" t="s">
        <v>22</v>
      </c>
      <c r="F14" s="5" t="s">
        <v>23</v>
      </c>
      <c r="G14" s="5" t="s">
        <v>24</v>
      </c>
      <c r="H14" s="8" t="s">
        <v>25</v>
      </c>
      <c r="I14" s="5" t="s">
        <v>172</v>
      </c>
      <c r="J14" s="5" t="s">
        <v>173</v>
      </c>
      <c r="K14" s="9" t="s">
        <v>174</v>
      </c>
      <c r="L14" s="5" t="s">
        <v>175</v>
      </c>
      <c r="M14" s="5" t="s">
        <v>176</v>
      </c>
      <c r="N14" s="5" t="s">
        <v>177</v>
      </c>
      <c r="O14" s="5" t="s">
        <v>178</v>
      </c>
      <c r="P14" s="10" t="s">
        <v>179</v>
      </c>
      <c r="Q14" s="11" t="s">
        <v>180</v>
      </c>
      <c r="R14" s="5" t="s">
        <v>181</v>
      </c>
    </row>
    <row r="15" customFormat="false" ht="84.75" hidden="false" customHeight="true" outlineLevel="0" collapsed="false">
      <c r="A15" s="5" t="s">
        <v>182</v>
      </c>
      <c r="B15" s="5" t="s">
        <v>183</v>
      </c>
      <c r="C15" s="16" t="s">
        <v>170</v>
      </c>
      <c r="D15" s="5" t="s">
        <v>171</v>
      </c>
      <c r="E15" s="12" t="s">
        <v>38</v>
      </c>
      <c r="F15" s="5" t="s">
        <v>39</v>
      </c>
      <c r="G15" s="5" t="s">
        <v>24</v>
      </c>
      <c r="H15" s="8" t="s">
        <v>184</v>
      </c>
      <c r="I15" s="5" t="s">
        <v>185</v>
      </c>
      <c r="J15" s="5" t="s">
        <v>186</v>
      </c>
      <c r="K15" s="9" t="s">
        <v>187</v>
      </c>
      <c r="L15" s="5" t="s">
        <v>188</v>
      </c>
      <c r="M15" s="5" t="s">
        <v>189</v>
      </c>
      <c r="N15" s="5" t="s">
        <v>177</v>
      </c>
      <c r="O15" s="5" t="s">
        <v>190</v>
      </c>
      <c r="P15" s="15" t="s">
        <v>191</v>
      </c>
      <c r="Q15" s="11" t="s">
        <v>192</v>
      </c>
      <c r="R15" s="5" t="s">
        <v>193</v>
      </c>
    </row>
    <row r="16" customFormat="false" ht="84.75" hidden="false" customHeight="true" outlineLevel="0" collapsed="false">
      <c r="A16" s="5" t="s">
        <v>194</v>
      </c>
      <c r="B16" s="5" t="s">
        <v>195</v>
      </c>
      <c r="C16" s="16" t="s">
        <v>170</v>
      </c>
      <c r="D16" s="5" t="s">
        <v>171</v>
      </c>
      <c r="E16" s="7" t="s">
        <v>22</v>
      </c>
      <c r="F16" s="5" t="s">
        <v>23</v>
      </c>
      <c r="G16" s="5" t="s">
        <v>24</v>
      </c>
      <c r="H16" s="8" t="s">
        <v>184</v>
      </c>
      <c r="I16" s="5" t="s">
        <v>196</v>
      </c>
      <c r="J16" s="5" t="s">
        <v>197</v>
      </c>
      <c r="K16" s="9" t="s">
        <v>198</v>
      </c>
      <c r="L16" s="5" t="s">
        <v>175</v>
      </c>
      <c r="M16" s="5" t="s">
        <v>162</v>
      </c>
      <c r="N16" s="5" t="s">
        <v>163</v>
      </c>
      <c r="O16" s="5" t="s">
        <v>199</v>
      </c>
      <c r="P16" s="15" t="s">
        <v>200</v>
      </c>
      <c r="Q16" s="11" t="s">
        <v>201</v>
      </c>
      <c r="R16" s="5" t="s">
        <v>202</v>
      </c>
    </row>
    <row r="17" customFormat="false" ht="84.75" hidden="false" customHeight="true" outlineLevel="0" collapsed="false">
      <c r="A17" s="5" t="s">
        <v>203</v>
      </c>
      <c r="B17" s="5" t="s">
        <v>204</v>
      </c>
      <c r="C17" s="16" t="s">
        <v>205</v>
      </c>
      <c r="D17" s="5" t="s">
        <v>206</v>
      </c>
      <c r="E17" s="7" t="s">
        <v>22</v>
      </c>
      <c r="F17" s="5" t="s">
        <v>23</v>
      </c>
      <c r="G17" s="5" t="s">
        <v>24</v>
      </c>
      <c r="H17" s="8" t="s">
        <v>184</v>
      </c>
      <c r="I17" s="5" t="s">
        <v>207</v>
      </c>
      <c r="J17" s="5" t="s">
        <v>208</v>
      </c>
      <c r="K17" s="9" t="s">
        <v>209</v>
      </c>
      <c r="L17" s="5" t="s">
        <v>210</v>
      </c>
      <c r="M17" s="5" t="s">
        <v>211</v>
      </c>
      <c r="N17" s="5" t="s">
        <v>212</v>
      </c>
      <c r="O17" s="5" t="s">
        <v>213</v>
      </c>
      <c r="P17" s="15" t="s">
        <v>214</v>
      </c>
      <c r="Q17" s="11" t="s">
        <v>215</v>
      </c>
      <c r="R17" s="5" t="s">
        <v>216</v>
      </c>
    </row>
    <row r="18" customFormat="false" ht="84.75" hidden="false" customHeight="true" outlineLevel="0" collapsed="false">
      <c r="A18" s="5" t="s">
        <v>217</v>
      </c>
      <c r="B18" s="5" t="s">
        <v>218</v>
      </c>
      <c r="C18" s="16" t="s">
        <v>205</v>
      </c>
      <c r="D18" s="5" t="s">
        <v>206</v>
      </c>
      <c r="E18" s="12" t="s">
        <v>38</v>
      </c>
      <c r="F18" s="5" t="s">
        <v>39</v>
      </c>
      <c r="G18" s="5" t="s">
        <v>24</v>
      </c>
      <c r="H18" s="13" t="s">
        <v>52</v>
      </c>
      <c r="I18" s="5" t="s">
        <v>219</v>
      </c>
      <c r="J18" s="5" t="s">
        <v>220</v>
      </c>
      <c r="K18" s="9" t="s">
        <v>221</v>
      </c>
      <c r="L18" s="5" t="s">
        <v>222</v>
      </c>
      <c r="M18" s="5" t="s">
        <v>223</v>
      </c>
      <c r="N18" s="5" t="s">
        <v>224</v>
      </c>
      <c r="O18" s="5" t="s">
        <v>225</v>
      </c>
      <c r="P18" s="10" t="s">
        <v>226</v>
      </c>
      <c r="Q18" s="11" t="s">
        <v>227</v>
      </c>
      <c r="R18" s="5" t="s">
        <v>228</v>
      </c>
    </row>
    <row r="19" customFormat="false" ht="84.75" hidden="false" customHeight="true" outlineLevel="0" collapsed="false">
      <c r="A19" s="5" t="s">
        <v>229</v>
      </c>
      <c r="B19" s="5" t="s">
        <v>230</v>
      </c>
      <c r="C19" s="16" t="s">
        <v>205</v>
      </c>
      <c r="D19" s="5" t="s">
        <v>206</v>
      </c>
      <c r="E19" s="12" t="s">
        <v>38</v>
      </c>
      <c r="F19" s="5" t="s">
        <v>39</v>
      </c>
      <c r="G19" s="5" t="s">
        <v>24</v>
      </c>
      <c r="H19" s="8" t="s">
        <v>25</v>
      </c>
      <c r="I19" s="5" t="s">
        <v>231</v>
      </c>
      <c r="J19" s="5" t="s">
        <v>232</v>
      </c>
      <c r="K19" s="9" t="s">
        <v>233</v>
      </c>
      <c r="L19" s="5" t="s">
        <v>210</v>
      </c>
      <c r="M19" s="5" t="s">
        <v>234</v>
      </c>
      <c r="N19" s="5" t="s">
        <v>212</v>
      </c>
      <c r="O19" s="5" t="s">
        <v>235</v>
      </c>
      <c r="P19" s="10" t="s">
        <v>236</v>
      </c>
      <c r="Q19" s="11" t="s">
        <v>237</v>
      </c>
      <c r="R19" s="5" t="s">
        <v>238</v>
      </c>
    </row>
    <row r="20" customFormat="false" ht="84.75" hidden="false" customHeight="true" outlineLevel="0" collapsed="false">
      <c r="A20" s="5" t="s">
        <v>239</v>
      </c>
      <c r="B20" s="5" t="s">
        <v>240</v>
      </c>
      <c r="C20" s="16" t="s">
        <v>205</v>
      </c>
      <c r="D20" s="5" t="s">
        <v>206</v>
      </c>
      <c r="E20" s="7" t="s">
        <v>22</v>
      </c>
      <c r="F20" s="5" t="s">
        <v>23</v>
      </c>
      <c r="G20" s="5" t="s">
        <v>24</v>
      </c>
      <c r="H20" s="14" t="s">
        <v>104</v>
      </c>
      <c r="I20" s="5" t="s">
        <v>241</v>
      </c>
      <c r="J20" s="5" t="s">
        <v>242</v>
      </c>
      <c r="K20" s="5"/>
      <c r="L20" s="5" t="s">
        <v>243</v>
      </c>
      <c r="M20" s="5" t="s">
        <v>244</v>
      </c>
      <c r="N20" s="5" t="s">
        <v>177</v>
      </c>
      <c r="O20" s="5" t="s">
        <v>245</v>
      </c>
      <c r="P20" s="10" t="s">
        <v>246</v>
      </c>
      <c r="Q20" s="11" t="s">
        <v>247</v>
      </c>
      <c r="R20" s="5" t="s">
        <v>248</v>
      </c>
    </row>
    <row r="21" customFormat="false" ht="84.75" hidden="false" customHeight="true" outlineLevel="0" collapsed="false">
      <c r="A21" s="5" t="s">
        <v>249</v>
      </c>
      <c r="B21" s="5" t="s">
        <v>250</v>
      </c>
      <c r="C21" s="16" t="s">
        <v>205</v>
      </c>
      <c r="D21" s="5" t="s">
        <v>206</v>
      </c>
      <c r="E21" s="14" t="s">
        <v>65</v>
      </c>
      <c r="F21" s="5" t="s">
        <v>66</v>
      </c>
      <c r="G21" s="5" t="s">
        <v>103</v>
      </c>
      <c r="H21" s="14" t="s">
        <v>104</v>
      </c>
      <c r="I21" s="5" t="s">
        <v>251</v>
      </c>
      <c r="J21" s="5" t="s">
        <v>252</v>
      </c>
      <c r="K21" s="5"/>
      <c r="L21" s="5" t="s">
        <v>210</v>
      </c>
      <c r="M21" s="5" t="s">
        <v>253</v>
      </c>
      <c r="N21" s="5" t="s">
        <v>212</v>
      </c>
      <c r="O21" s="5" t="s">
        <v>254</v>
      </c>
      <c r="P21" s="15" t="s">
        <v>255</v>
      </c>
      <c r="Q21" s="11" t="s">
        <v>256</v>
      </c>
      <c r="R21" s="5" t="s">
        <v>257</v>
      </c>
    </row>
    <row r="22" customFormat="false" ht="84.75" hidden="false" customHeight="true" outlineLevel="0" collapsed="false">
      <c r="A22" s="5" t="s">
        <v>258</v>
      </c>
      <c r="B22" s="5" t="s">
        <v>259</v>
      </c>
      <c r="C22" s="16" t="s">
        <v>205</v>
      </c>
      <c r="D22" s="5" t="s">
        <v>206</v>
      </c>
      <c r="E22" s="7" t="s">
        <v>22</v>
      </c>
      <c r="F22" s="5" t="s">
        <v>23</v>
      </c>
      <c r="G22" s="5" t="s">
        <v>24</v>
      </c>
      <c r="H22" s="14" t="s">
        <v>104</v>
      </c>
      <c r="I22" s="5" t="s">
        <v>260</v>
      </c>
      <c r="J22" s="5" t="s">
        <v>261</v>
      </c>
      <c r="K22" s="5"/>
      <c r="L22" s="5" t="s">
        <v>210</v>
      </c>
      <c r="M22" s="5" t="s">
        <v>262</v>
      </c>
      <c r="N22" s="5" t="s">
        <v>212</v>
      </c>
      <c r="O22" s="5" t="s">
        <v>263</v>
      </c>
      <c r="P22" s="10" t="s">
        <v>264</v>
      </c>
      <c r="Q22" s="11" t="s">
        <v>265</v>
      </c>
      <c r="R22" s="5" t="s">
        <v>266</v>
      </c>
    </row>
    <row r="23" customFormat="false" ht="84.75" hidden="false" customHeight="true" outlineLevel="0" collapsed="false">
      <c r="A23" s="5" t="s">
        <v>267</v>
      </c>
      <c r="B23" s="5" t="s">
        <v>268</v>
      </c>
      <c r="C23" s="16" t="s">
        <v>205</v>
      </c>
      <c r="D23" s="5" t="s">
        <v>206</v>
      </c>
      <c r="E23" s="7" t="s">
        <v>22</v>
      </c>
      <c r="F23" s="5" t="s">
        <v>23</v>
      </c>
      <c r="G23" s="5" t="s">
        <v>24</v>
      </c>
      <c r="H23" s="14" t="s">
        <v>104</v>
      </c>
      <c r="I23" s="5" t="s">
        <v>269</v>
      </c>
      <c r="J23" s="5" t="s">
        <v>270</v>
      </c>
      <c r="K23" s="5"/>
      <c r="L23" s="5" t="s">
        <v>210</v>
      </c>
      <c r="M23" s="5" t="s">
        <v>271</v>
      </c>
      <c r="N23" s="5" t="s">
        <v>212</v>
      </c>
      <c r="O23" s="5" t="s">
        <v>272</v>
      </c>
      <c r="P23" s="10" t="s">
        <v>273</v>
      </c>
      <c r="Q23" s="11" t="s">
        <v>274</v>
      </c>
      <c r="R23" s="5" t="s">
        <v>275</v>
      </c>
    </row>
    <row r="24" customFormat="false" ht="84.75" hidden="false" customHeight="true" outlineLevel="0" collapsed="false">
      <c r="A24" s="5" t="s">
        <v>276</v>
      </c>
      <c r="B24" s="5" t="s">
        <v>277</v>
      </c>
      <c r="C24" s="16" t="s">
        <v>205</v>
      </c>
      <c r="D24" s="5" t="s">
        <v>206</v>
      </c>
      <c r="E24" s="12" t="s">
        <v>38</v>
      </c>
      <c r="F24" s="5" t="s">
        <v>39</v>
      </c>
      <c r="G24" s="5" t="s">
        <v>24</v>
      </c>
      <c r="H24" s="14" t="s">
        <v>104</v>
      </c>
      <c r="I24" s="5" t="s">
        <v>278</v>
      </c>
      <c r="J24" s="5" t="s">
        <v>279</v>
      </c>
      <c r="K24" s="5"/>
      <c r="L24" s="5" t="s">
        <v>210</v>
      </c>
      <c r="M24" s="5" t="s">
        <v>280</v>
      </c>
      <c r="N24" s="5" t="s">
        <v>212</v>
      </c>
      <c r="O24" s="5" t="s">
        <v>281</v>
      </c>
      <c r="P24" s="10" t="s">
        <v>282</v>
      </c>
      <c r="Q24" s="11" t="s">
        <v>283</v>
      </c>
      <c r="R24" s="5" t="s">
        <v>284</v>
      </c>
    </row>
    <row r="25" customFormat="false" ht="84.75" hidden="false" customHeight="true" outlineLevel="0" collapsed="false">
      <c r="A25" s="5" t="s">
        <v>285</v>
      </c>
      <c r="B25" s="5" t="s">
        <v>286</v>
      </c>
      <c r="C25" s="16" t="s">
        <v>205</v>
      </c>
      <c r="D25" s="5" t="s">
        <v>206</v>
      </c>
      <c r="E25" s="7" t="s">
        <v>22</v>
      </c>
      <c r="F25" s="5" t="s">
        <v>23</v>
      </c>
      <c r="G25" s="5" t="s">
        <v>103</v>
      </c>
      <c r="H25" s="14" t="s">
        <v>104</v>
      </c>
      <c r="I25" s="5" t="s">
        <v>287</v>
      </c>
      <c r="J25" s="5" t="s">
        <v>288</v>
      </c>
      <c r="K25" s="5"/>
      <c r="L25" s="5" t="s">
        <v>289</v>
      </c>
      <c r="M25" s="5" t="s">
        <v>176</v>
      </c>
      <c r="N25" s="5" t="s">
        <v>290</v>
      </c>
      <c r="O25" s="5" t="s">
        <v>291</v>
      </c>
      <c r="P25" s="10" t="s">
        <v>292</v>
      </c>
      <c r="Q25" s="11" t="s">
        <v>293</v>
      </c>
      <c r="R25" s="5" t="s">
        <v>294</v>
      </c>
    </row>
    <row r="26" customFormat="false" ht="84.75" hidden="false" customHeight="true" outlineLevel="0" collapsed="false">
      <c r="A26" s="5" t="s">
        <v>295</v>
      </c>
      <c r="B26" s="5" t="s">
        <v>296</v>
      </c>
      <c r="C26" s="16" t="s">
        <v>170</v>
      </c>
      <c r="D26" s="5" t="s">
        <v>297</v>
      </c>
      <c r="E26" s="12" t="s">
        <v>38</v>
      </c>
      <c r="F26" s="5" t="s">
        <v>39</v>
      </c>
      <c r="G26" s="5" t="s">
        <v>24</v>
      </c>
      <c r="H26" s="8" t="s">
        <v>25</v>
      </c>
      <c r="I26" s="5" t="s">
        <v>298</v>
      </c>
      <c r="J26" s="5" t="s">
        <v>299</v>
      </c>
      <c r="K26" s="9" t="s">
        <v>300</v>
      </c>
      <c r="L26" s="5" t="s">
        <v>301</v>
      </c>
      <c r="M26" s="5" t="s">
        <v>302</v>
      </c>
      <c r="N26" s="5" t="s">
        <v>303</v>
      </c>
      <c r="O26" s="5" t="s">
        <v>304</v>
      </c>
      <c r="P26" s="15" t="s">
        <v>305</v>
      </c>
      <c r="Q26" s="11" t="s">
        <v>306</v>
      </c>
      <c r="R26" s="5" t="s">
        <v>307</v>
      </c>
    </row>
    <row r="27" customFormat="false" ht="84.75" hidden="false" customHeight="true" outlineLevel="0" collapsed="false">
      <c r="A27" s="5" t="s">
        <v>308</v>
      </c>
      <c r="B27" s="5" t="s">
        <v>309</v>
      </c>
      <c r="C27" s="16" t="s">
        <v>170</v>
      </c>
      <c r="D27" s="5" t="s">
        <v>297</v>
      </c>
      <c r="E27" s="14" t="s">
        <v>65</v>
      </c>
      <c r="F27" s="5" t="s">
        <v>66</v>
      </c>
      <c r="G27" s="5" t="s">
        <v>24</v>
      </c>
      <c r="H27" s="13" t="s">
        <v>52</v>
      </c>
      <c r="I27" s="5" t="s">
        <v>310</v>
      </c>
      <c r="J27" s="5" t="s">
        <v>311</v>
      </c>
      <c r="K27" s="9" t="s">
        <v>312</v>
      </c>
      <c r="L27" s="5" t="s">
        <v>301</v>
      </c>
      <c r="M27" s="5" t="s">
        <v>313</v>
      </c>
      <c r="N27" s="5" t="s">
        <v>314</v>
      </c>
      <c r="O27" s="5" t="s">
        <v>315</v>
      </c>
      <c r="P27" s="10" t="s">
        <v>316</v>
      </c>
      <c r="Q27" s="11" t="s">
        <v>317</v>
      </c>
      <c r="R27" s="5" t="s">
        <v>318</v>
      </c>
    </row>
    <row r="28" customFormat="false" ht="84.75" hidden="false" customHeight="true" outlineLevel="0" collapsed="false">
      <c r="A28" s="5" t="s">
        <v>319</v>
      </c>
      <c r="B28" s="5" t="s">
        <v>320</v>
      </c>
      <c r="C28" s="16" t="s">
        <v>170</v>
      </c>
      <c r="D28" s="5" t="s">
        <v>321</v>
      </c>
      <c r="E28" s="7" t="s">
        <v>22</v>
      </c>
      <c r="F28" s="5" t="s">
        <v>23</v>
      </c>
      <c r="G28" s="5" t="s">
        <v>24</v>
      </c>
      <c r="H28" s="8" t="s">
        <v>184</v>
      </c>
      <c r="I28" s="5" t="s">
        <v>322</v>
      </c>
      <c r="J28" s="5" t="s">
        <v>323</v>
      </c>
      <c r="K28" s="9" t="s">
        <v>324</v>
      </c>
      <c r="L28" s="5" t="s">
        <v>222</v>
      </c>
      <c r="M28" s="5" t="s">
        <v>325</v>
      </c>
      <c r="N28" s="5" t="s">
        <v>326</v>
      </c>
      <c r="O28" s="5" t="s">
        <v>327</v>
      </c>
      <c r="P28" s="15" t="s">
        <v>328</v>
      </c>
      <c r="Q28" s="11" t="s">
        <v>329</v>
      </c>
      <c r="R28" s="5" t="s">
        <v>330</v>
      </c>
    </row>
    <row r="29" customFormat="false" ht="84.75" hidden="false" customHeight="true" outlineLevel="0" collapsed="false">
      <c r="A29" s="5" t="s">
        <v>331</v>
      </c>
      <c r="B29" s="5" t="s">
        <v>332</v>
      </c>
      <c r="C29" s="16" t="s">
        <v>170</v>
      </c>
      <c r="D29" s="5" t="s">
        <v>321</v>
      </c>
      <c r="E29" s="12" t="s">
        <v>38</v>
      </c>
      <c r="F29" s="5" t="s">
        <v>39</v>
      </c>
      <c r="G29" s="5" t="s">
        <v>24</v>
      </c>
      <c r="H29" s="13" t="s">
        <v>52</v>
      </c>
      <c r="I29" s="5" t="s">
        <v>333</v>
      </c>
      <c r="J29" s="5" t="s">
        <v>334</v>
      </c>
      <c r="K29" s="9" t="s">
        <v>335</v>
      </c>
      <c r="L29" s="5" t="s">
        <v>222</v>
      </c>
      <c r="M29" s="5" t="s">
        <v>336</v>
      </c>
      <c r="N29" s="5" t="s">
        <v>224</v>
      </c>
      <c r="O29" s="5" t="s">
        <v>337</v>
      </c>
      <c r="P29" s="10" t="s">
        <v>338</v>
      </c>
      <c r="Q29" s="11" t="s">
        <v>339</v>
      </c>
      <c r="R29" s="5" t="s">
        <v>340</v>
      </c>
    </row>
    <row r="30" customFormat="false" ht="84.75" hidden="false" customHeight="true" outlineLevel="0" collapsed="false">
      <c r="A30" s="5" t="s">
        <v>341</v>
      </c>
      <c r="B30" s="5" t="s">
        <v>342</v>
      </c>
      <c r="C30" s="16" t="s">
        <v>170</v>
      </c>
      <c r="D30" s="5" t="s">
        <v>321</v>
      </c>
      <c r="E30" s="12" t="s">
        <v>38</v>
      </c>
      <c r="F30" s="5" t="s">
        <v>39</v>
      </c>
      <c r="G30" s="5" t="s">
        <v>24</v>
      </c>
      <c r="H30" s="8" t="s">
        <v>25</v>
      </c>
      <c r="I30" s="5" t="s">
        <v>343</v>
      </c>
      <c r="J30" s="5" t="s">
        <v>344</v>
      </c>
      <c r="K30" s="9" t="s">
        <v>345</v>
      </c>
      <c r="L30" s="5" t="s">
        <v>222</v>
      </c>
      <c r="M30" s="5" t="s">
        <v>346</v>
      </c>
      <c r="N30" s="5" t="s">
        <v>347</v>
      </c>
      <c r="O30" s="5" t="s">
        <v>348</v>
      </c>
      <c r="P30" s="10" t="s">
        <v>349</v>
      </c>
      <c r="Q30" s="11" t="s">
        <v>350</v>
      </c>
      <c r="R30" s="5" t="s">
        <v>351</v>
      </c>
    </row>
    <row r="31" customFormat="false" ht="84.75" hidden="false" customHeight="true" outlineLevel="0" collapsed="false">
      <c r="A31" s="5" t="s">
        <v>352</v>
      </c>
      <c r="B31" s="5" t="s">
        <v>353</v>
      </c>
      <c r="C31" s="16" t="s">
        <v>170</v>
      </c>
      <c r="D31" s="5" t="s">
        <v>321</v>
      </c>
      <c r="E31" s="12" t="s">
        <v>38</v>
      </c>
      <c r="F31" s="5" t="s">
        <v>39</v>
      </c>
      <c r="G31" s="5" t="s">
        <v>24</v>
      </c>
      <c r="H31" s="14" t="s">
        <v>104</v>
      </c>
      <c r="I31" s="5" t="s">
        <v>354</v>
      </c>
      <c r="J31" s="5" t="s">
        <v>355</v>
      </c>
      <c r="K31" s="5"/>
      <c r="L31" s="5" t="s">
        <v>222</v>
      </c>
      <c r="M31" s="5" t="s">
        <v>336</v>
      </c>
      <c r="N31" s="5" t="s">
        <v>347</v>
      </c>
      <c r="O31" s="5" t="s">
        <v>356</v>
      </c>
      <c r="P31" s="10" t="s">
        <v>357</v>
      </c>
      <c r="Q31" s="11" t="s">
        <v>358</v>
      </c>
      <c r="R31" s="5" t="s">
        <v>359</v>
      </c>
    </row>
    <row r="32" customFormat="false" ht="84.75" hidden="false" customHeight="true" outlineLevel="0" collapsed="false">
      <c r="A32" s="5" t="s">
        <v>360</v>
      </c>
      <c r="B32" s="5" t="s">
        <v>361</v>
      </c>
      <c r="C32" s="16" t="s">
        <v>170</v>
      </c>
      <c r="D32" s="5" t="s">
        <v>362</v>
      </c>
      <c r="E32" s="7" t="s">
        <v>22</v>
      </c>
      <c r="F32" s="5" t="s">
        <v>23</v>
      </c>
      <c r="G32" s="5" t="s">
        <v>24</v>
      </c>
      <c r="H32" s="8" t="s">
        <v>25</v>
      </c>
      <c r="I32" s="5" t="s">
        <v>363</v>
      </c>
      <c r="J32" s="5" t="s">
        <v>364</v>
      </c>
      <c r="K32" s="9" t="s">
        <v>365</v>
      </c>
      <c r="L32" s="5" t="s">
        <v>222</v>
      </c>
      <c r="M32" s="5" t="s">
        <v>366</v>
      </c>
      <c r="N32" s="5" t="s">
        <v>367</v>
      </c>
      <c r="O32" s="5" t="s">
        <v>368</v>
      </c>
      <c r="P32" s="10" t="s">
        <v>369</v>
      </c>
      <c r="Q32" s="11" t="s">
        <v>370</v>
      </c>
      <c r="R32" s="5" t="s">
        <v>371</v>
      </c>
    </row>
    <row r="33" customFormat="false" ht="84.75" hidden="false" customHeight="true" outlineLevel="0" collapsed="false">
      <c r="A33" s="5" t="s">
        <v>372</v>
      </c>
      <c r="B33" s="5" t="s">
        <v>373</v>
      </c>
      <c r="C33" s="16" t="s">
        <v>170</v>
      </c>
      <c r="D33" s="5" t="s">
        <v>362</v>
      </c>
      <c r="E33" s="12" t="s">
        <v>38</v>
      </c>
      <c r="F33" s="5" t="s">
        <v>39</v>
      </c>
      <c r="G33" s="5" t="s">
        <v>24</v>
      </c>
      <c r="H33" s="14" t="s">
        <v>104</v>
      </c>
      <c r="I33" s="5" t="s">
        <v>374</v>
      </c>
      <c r="J33" s="5" t="s">
        <v>375</v>
      </c>
      <c r="K33" s="5"/>
      <c r="L33" s="5" t="s">
        <v>222</v>
      </c>
      <c r="M33" s="5" t="s">
        <v>376</v>
      </c>
      <c r="N33" s="5" t="s">
        <v>377</v>
      </c>
      <c r="O33" s="5" t="s">
        <v>378</v>
      </c>
      <c r="P33" s="15" t="s">
        <v>379</v>
      </c>
      <c r="Q33" s="11" t="s">
        <v>380</v>
      </c>
      <c r="R33" s="5" t="s">
        <v>381</v>
      </c>
    </row>
    <row r="34" customFormat="false" ht="84.75" hidden="false" customHeight="true" outlineLevel="0" collapsed="false">
      <c r="A34" s="5" t="s">
        <v>382</v>
      </c>
      <c r="B34" s="5" t="s">
        <v>383</v>
      </c>
      <c r="C34" s="16" t="s">
        <v>170</v>
      </c>
      <c r="D34" s="5" t="s">
        <v>362</v>
      </c>
      <c r="E34" s="14" t="s">
        <v>65</v>
      </c>
      <c r="F34" s="5" t="s">
        <v>66</v>
      </c>
      <c r="G34" s="5" t="s">
        <v>103</v>
      </c>
      <c r="H34" s="14" t="s">
        <v>104</v>
      </c>
      <c r="I34" s="5" t="s">
        <v>384</v>
      </c>
      <c r="J34" s="5" t="s">
        <v>385</v>
      </c>
      <c r="K34" s="5"/>
      <c r="L34" s="5" t="s">
        <v>222</v>
      </c>
      <c r="M34" s="5" t="s">
        <v>376</v>
      </c>
      <c r="N34" s="5" t="s">
        <v>377</v>
      </c>
      <c r="O34" s="5" t="s">
        <v>386</v>
      </c>
      <c r="P34" s="10" t="s">
        <v>387</v>
      </c>
      <c r="Q34" s="11" t="s">
        <v>388</v>
      </c>
      <c r="R34" s="5" t="s">
        <v>389</v>
      </c>
    </row>
    <row r="35" customFormat="false" ht="84.75" hidden="false" customHeight="true" outlineLevel="0" collapsed="false">
      <c r="A35" s="5" t="s">
        <v>390</v>
      </c>
      <c r="B35" s="5" t="s">
        <v>391</v>
      </c>
      <c r="C35" s="16" t="s">
        <v>170</v>
      </c>
      <c r="D35" s="5" t="s">
        <v>392</v>
      </c>
      <c r="E35" s="14" t="s">
        <v>65</v>
      </c>
      <c r="F35" s="5" t="s">
        <v>66</v>
      </c>
      <c r="G35" s="5" t="s">
        <v>24</v>
      </c>
      <c r="H35" s="8" t="s">
        <v>25</v>
      </c>
      <c r="I35" s="5" t="s">
        <v>393</v>
      </c>
      <c r="J35" s="5" t="s">
        <v>394</v>
      </c>
      <c r="K35" s="9" t="s">
        <v>395</v>
      </c>
      <c r="L35" s="5" t="s">
        <v>175</v>
      </c>
      <c r="M35" s="5" t="s">
        <v>396</v>
      </c>
      <c r="N35" s="5" t="s">
        <v>397</v>
      </c>
      <c r="O35" s="5" t="s">
        <v>398</v>
      </c>
      <c r="P35" s="10" t="s">
        <v>399</v>
      </c>
      <c r="Q35" s="11" t="s">
        <v>400</v>
      </c>
      <c r="R35" s="5" t="s">
        <v>401</v>
      </c>
    </row>
    <row r="36" customFormat="false" ht="84.75" hidden="false" customHeight="true" outlineLevel="0" collapsed="false">
      <c r="A36" s="5" t="s">
        <v>402</v>
      </c>
      <c r="B36" s="5" t="s">
        <v>403</v>
      </c>
      <c r="C36" s="16" t="s">
        <v>170</v>
      </c>
      <c r="D36" s="5" t="s">
        <v>404</v>
      </c>
      <c r="E36" s="12" t="s">
        <v>38</v>
      </c>
      <c r="F36" s="5" t="s">
        <v>39</v>
      </c>
      <c r="G36" s="5" t="s">
        <v>103</v>
      </c>
      <c r="H36" s="14" t="s">
        <v>104</v>
      </c>
      <c r="I36" s="5" t="s">
        <v>405</v>
      </c>
      <c r="J36" s="5" t="s">
        <v>406</v>
      </c>
      <c r="K36" s="5"/>
      <c r="L36" s="5" t="s">
        <v>175</v>
      </c>
      <c r="M36" s="5" t="s">
        <v>407</v>
      </c>
      <c r="N36" s="5" t="s">
        <v>408</v>
      </c>
      <c r="O36" s="5" t="s">
        <v>409</v>
      </c>
      <c r="P36" s="15" t="s">
        <v>410</v>
      </c>
      <c r="Q36" s="11" t="s">
        <v>411</v>
      </c>
      <c r="R36" s="5" t="s">
        <v>412</v>
      </c>
    </row>
    <row r="37" customFormat="false" ht="84.75" hidden="false" customHeight="true" outlineLevel="0" collapsed="false">
      <c r="A37" s="5" t="s">
        <v>413</v>
      </c>
      <c r="B37" s="5" t="s">
        <v>414</v>
      </c>
      <c r="C37" s="16" t="s">
        <v>170</v>
      </c>
      <c r="D37" s="5" t="s">
        <v>404</v>
      </c>
      <c r="E37" s="12" t="s">
        <v>38</v>
      </c>
      <c r="F37" s="5" t="s">
        <v>39</v>
      </c>
      <c r="G37" s="5" t="s">
        <v>103</v>
      </c>
      <c r="H37" s="14" t="s">
        <v>104</v>
      </c>
      <c r="I37" s="5" t="s">
        <v>415</v>
      </c>
      <c r="J37" s="5" t="s">
        <v>416</v>
      </c>
      <c r="K37" s="5"/>
      <c r="L37" s="5" t="s">
        <v>222</v>
      </c>
      <c r="M37" s="5" t="s">
        <v>417</v>
      </c>
      <c r="N37" s="5" t="s">
        <v>408</v>
      </c>
      <c r="O37" s="5" t="s">
        <v>418</v>
      </c>
      <c r="P37" s="10" t="s">
        <v>419</v>
      </c>
      <c r="Q37" s="11" t="s">
        <v>420</v>
      </c>
      <c r="R37" s="5" t="s">
        <v>421</v>
      </c>
    </row>
    <row r="38" customFormat="false" ht="84.75" hidden="false" customHeight="true" outlineLevel="0" collapsed="false">
      <c r="A38" s="5" t="s">
        <v>422</v>
      </c>
      <c r="B38" s="5" t="s">
        <v>423</v>
      </c>
      <c r="C38" s="16" t="s">
        <v>170</v>
      </c>
      <c r="D38" s="5" t="s">
        <v>424</v>
      </c>
      <c r="E38" s="12" t="s">
        <v>38</v>
      </c>
      <c r="F38" s="5" t="s">
        <v>39</v>
      </c>
      <c r="G38" s="5" t="s">
        <v>425</v>
      </c>
      <c r="H38" s="14" t="s">
        <v>104</v>
      </c>
      <c r="I38" s="5" t="s">
        <v>426</v>
      </c>
      <c r="J38" s="5" t="s">
        <v>427</v>
      </c>
      <c r="K38" s="5"/>
      <c r="L38" s="5" t="s">
        <v>175</v>
      </c>
      <c r="M38" s="5" t="s">
        <v>189</v>
      </c>
      <c r="N38" s="5" t="s">
        <v>428</v>
      </c>
      <c r="O38" s="5" t="s">
        <v>429</v>
      </c>
      <c r="P38" s="15" t="s">
        <v>430</v>
      </c>
      <c r="Q38" s="11" t="s">
        <v>431</v>
      </c>
      <c r="R38" s="5" t="s">
        <v>432</v>
      </c>
    </row>
    <row r="39" customFormat="false" ht="84.75" hidden="false" customHeight="true" outlineLevel="0" collapsed="false">
      <c r="A39" s="5" t="s">
        <v>433</v>
      </c>
      <c r="B39" s="5" t="s">
        <v>434</v>
      </c>
      <c r="C39" s="16" t="s">
        <v>170</v>
      </c>
      <c r="D39" s="5" t="s">
        <v>424</v>
      </c>
      <c r="E39" s="12" t="s">
        <v>38</v>
      </c>
      <c r="F39" s="5" t="s">
        <v>39</v>
      </c>
      <c r="G39" s="5" t="s">
        <v>425</v>
      </c>
      <c r="H39" s="14" t="s">
        <v>104</v>
      </c>
      <c r="I39" s="5" t="s">
        <v>435</v>
      </c>
      <c r="J39" s="5" t="s">
        <v>436</v>
      </c>
      <c r="K39" s="5"/>
      <c r="L39" s="5" t="s">
        <v>437</v>
      </c>
      <c r="M39" s="5" t="s">
        <v>438</v>
      </c>
      <c r="N39" s="5" t="s">
        <v>428</v>
      </c>
      <c r="O39" s="5" t="s">
        <v>439</v>
      </c>
      <c r="P39" s="15" t="s">
        <v>440</v>
      </c>
      <c r="Q39" s="11" t="s">
        <v>441</v>
      </c>
      <c r="R39" s="5" t="s">
        <v>442</v>
      </c>
    </row>
    <row r="40" customFormat="false" ht="84.75" hidden="false" customHeight="true" outlineLevel="0" collapsed="false">
      <c r="A40" s="5" t="s">
        <v>443</v>
      </c>
      <c r="B40" s="5" t="s">
        <v>444</v>
      </c>
      <c r="C40" s="16" t="s">
        <v>170</v>
      </c>
      <c r="D40" s="5" t="s">
        <v>445</v>
      </c>
      <c r="E40" s="12" t="s">
        <v>38</v>
      </c>
      <c r="F40" s="5" t="s">
        <v>39</v>
      </c>
      <c r="G40" s="5" t="s">
        <v>24</v>
      </c>
      <c r="H40" s="14" t="s">
        <v>104</v>
      </c>
      <c r="I40" s="5" t="s">
        <v>446</v>
      </c>
      <c r="J40" s="5" t="s">
        <v>447</v>
      </c>
      <c r="K40" s="5"/>
      <c r="L40" s="5" t="s">
        <v>448</v>
      </c>
      <c r="M40" s="5" t="s">
        <v>449</v>
      </c>
      <c r="N40" s="5" t="s">
        <v>163</v>
      </c>
      <c r="O40" s="5" t="s">
        <v>450</v>
      </c>
      <c r="P40" s="10" t="s">
        <v>451</v>
      </c>
      <c r="Q40" s="11" t="s">
        <v>452</v>
      </c>
      <c r="R40" s="5" t="s">
        <v>453</v>
      </c>
    </row>
    <row r="41" customFormat="false" ht="84.75" hidden="false" customHeight="true" outlineLevel="0" collapsed="false">
      <c r="A41" s="5" t="s">
        <v>454</v>
      </c>
      <c r="B41" s="5" t="s">
        <v>455</v>
      </c>
      <c r="C41" s="17" t="s">
        <v>456</v>
      </c>
      <c r="D41" s="5" t="s">
        <v>457</v>
      </c>
      <c r="E41" s="7" t="s">
        <v>22</v>
      </c>
      <c r="F41" s="5" t="s">
        <v>23</v>
      </c>
      <c r="G41" s="5" t="s">
        <v>24</v>
      </c>
      <c r="H41" s="8" t="s">
        <v>184</v>
      </c>
      <c r="I41" s="5" t="s">
        <v>458</v>
      </c>
      <c r="J41" s="5" t="s">
        <v>459</v>
      </c>
      <c r="K41" s="9" t="s">
        <v>460</v>
      </c>
      <c r="L41" s="5" t="s">
        <v>461</v>
      </c>
      <c r="M41" s="5" t="s">
        <v>462</v>
      </c>
      <c r="N41" s="5" t="s">
        <v>463</v>
      </c>
      <c r="O41" s="5" t="s">
        <v>464</v>
      </c>
      <c r="P41" s="15" t="s">
        <v>465</v>
      </c>
      <c r="Q41" s="11" t="s">
        <v>466</v>
      </c>
      <c r="R41" s="5" t="s">
        <v>467</v>
      </c>
    </row>
    <row r="42" customFormat="false" ht="84.75" hidden="false" customHeight="true" outlineLevel="0" collapsed="false">
      <c r="A42" s="5" t="s">
        <v>468</v>
      </c>
      <c r="B42" s="5" t="s">
        <v>469</v>
      </c>
      <c r="C42" s="17" t="s">
        <v>456</v>
      </c>
      <c r="D42" s="5" t="s">
        <v>457</v>
      </c>
      <c r="E42" s="12" t="s">
        <v>38</v>
      </c>
      <c r="F42" s="5" t="s">
        <v>39</v>
      </c>
      <c r="G42" s="5" t="s">
        <v>24</v>
      </c>
      <c r="H42" s="13" t="s">
        <v>52</v>
      </c>
      <c r="I42" s="5" t="s">
        <v>470</v>
      </c>
      <c r="J42" s="5" t="s">
        <v>471</v>
      </c>
      <c r="K42" s="9" t="s">
        <v>472</v>
      </c>
      <c r="L42" s="5" t="s">
        <v>473</v>
      </c>
      <c r="M42" s="5" t="s">
        <v>474</v>
      </c>
      <c r="N42" s="5" t="s">
        <v>475</v>
      </c>
      <c r="O42" s="5" t="s">
        <v>476</v>
      </c>
      <c r="P42" s="10" t="s">
        <v>477</v>
      </c>
      <c r="Q42" s="11" t="s">
        <v>478</v>
      </c>
      <c r="R42" s="5" t="s">
        <v>479</v>
      </c>
    </row>
    <row r="43" customFormat="false" ht="84.75" hidden="false" customHeight="true" outlineLevel="0" collapsed="false">
      <c r="A43" s="5" t="s">
        <v>480</v>
      </c>
      <c r="B43" s="5" t="s">
        <v>481</v>
      </c>
      <c r="C43" s="17" t="s">
        <v>456</v>
      </c>
      <c r="D43" s="5" t="s">
        <v>457</v>
      </c>
      <c r="E43" s="7" t="s">
        <v>22</v>
      </c>
      <c r="F43" s="5" t="s">
        <v>23</v>
      </c>
      <c r="G43" s="5" t="s">
        <v>24</v>
      </c>
      <c r="H43" s="14" t="s">
        <v>104</v>
      </c>
      <c r="I43" s="5" t="s">
        <v>482</v>
      </c>
      <c r="J43" s="5" t="s">
        <v>483</v>
      </c>
      <c r="K43" s="5"/>
      <c r="L43" s="5" t="s">
        <v>484</v>
      </c>
      <c r="M43" s="5" t="s">
        <v>485</v>
      </c>
      <c r="N43" s="5" t="s">
        <v>486</v>
      </c>
      <c r="O43" s="5" t="s">
        <v>487</v>
      </c>
      <c r="P43" s="15" t="s">
        <v>488</v>
      </c>
      <c r="Q43" s="11" t="s">
        <v>489</v>
      </c>
      <c r="R43" s="5" t="s">
        <v>490</v>
      </c>
    </row>
    <row r="44" customFormat="false" ht="84.75" hidden="false" customHeight="true" outlineLevel="0" collapsed="false">
      <c r="A44" s="5" t="s">
        <v>491</v>
      </c>
      <c r="B44" s="5" t="s">
        <v>492</v>
      </c>
      <c r="C44" s="12" t="s">
        <v>493</v>
      </c>
      <c r="D44" s="5" t="s">
        <v>494</v>
      </c>
      <c r="E44" s="7" t="s">
        <v>22</v>
      </c>
      <c r="F44" s="5" t="s">
        <v>23</v>
      </c>
      <c r="G44" s="5" t="s">
        <v>24</v>
      </c>
      <c r="H44" s="8" t="s">
        <v>25</v>
      </c>
      <c r="I44" s="5" t="s">
        <v>495</v>
      </c>
      <c r="J44" s="5" t="s">
        <v>496</v>
      </c>
      <c r="K44" s="9" t="s">
        <v>497</v>
      </c>
      <c r="L44" s="5" t="s">
        <v>498</v>
      </c>
      <c r="M44" s="5" t="s">
        <v>499</v>
      </c>
      <c r="N44" s="5" t="s">
        <v>500</v>
      </c>
      <c r="O44" s="5" t="s">
        <v>501</v>
      </c>
      <c r="P44" s="15" t="s">
        <v>502</v>
      </c>
      <c r="Q44" s="11" t="s">
        <v>503</v>
      </c>
      <c r="R44" s="5" t="s">
        <v>504</v>
      </c>
    </row>
    <row r="45" customFormat="false" ht="84.75" hidden="false" customHeight="true" outlineLevel="0" collapsed="false">
      <c r="A45" s="5" t="s">
        <v>505</v>
      </c>
      <c r="B45" s="5" t="s">
        <v>506</v>
      </c>
      <c r="C45" s="12" t="s">
        <v>493</v>
      </c>
      <c r="D45" s="5" t="s">
        <v>494</v>
      </c>
      <c r="E45" s="7" t="s">
        <v>22</v>
      </c>
      <c r="F45" s="5" t="s">
        <v>23</v>
      </c>
      <c r="G45" s="5" t="s">
        <v>24</v>
      </c>
      <c r="H45" s="8" t="s">
        <v>184</v>
      </c>
      <c r="I45" s="5" t="s">
        <v>507</v>
      </c>
      <c r="J45" s="5" t="s">
        <v>508</v>
      </c>
      <c r="K45" s="9" t="s">
        <v>509</v>
      </c>
      <c r="L45" s="5" t="s">
        <v>510</v>
      </c>
      <c r="M45" s="5" t="s">
        <v>511</v>
      </c>
      <c r="N45" s="5" t="s">
        <v>500</v>
      </c>
      <c r="O45" s="5" t="s">
        <v>512</v>
      </c>
      <c r="P45" s="15" t="s">
        <v>513</v>
      </c>
      <c r="Q45" s="11" t="s">
        <v>514</v>
      </c>
      <c r="R45" s="5" t="s">
        <v>515</v>
      </c>
    </row>
    <row r="46" customFormat="false" ht="84.75" hidden="false" customHeight="true" outlineLevel="0" collapsed="false">
      <c r="A46" s="5" t="s">
        <v>516</v>
      </c>
      <c r="B46" s="5" t="s">
        <v>517</v>
      </c>
      <c r="C46" s="7" t="s">
        <v>518</v>
      </c>
      <c r="D46" s="5" t="s">
        <v>519</v>
      </c>
      <c r="E46" s="12" t="s">
        <v>38</v>
      </c>
      <c r="F46" s="5" t="s">
        <v>39</v>
      </c>
      <c r="G46" s="5" t="s">
        <v>24</v>
      </c>
      <c r="H46" s="8" t="s">
        <v>184</v>
      </c>
      <c r="I46" s="5" t="s">
        <v>520</v>
      </c>
      <c r="J46" s="5" t="s">
        <v>521</v>
      </c>
      <c r="K46" s="9" t="s">
        <v>522</v>
      </c>
      <c r="L46" s="5" t="s">
        <v>523</v>
      </c>
      <c r="M46" s="5" t="s">
        <v>524</v>
      </c>
      <c r="N46" s="5" t="s">
        <v>500</v>
      </c>
      <c r="O46" s="5" t="s">
        <v>525</v>
      </c>
      <c r="P46" s="10" t="s">
        <v>526</v>
      </c>
      <c r="Q46" s="11" t="s">
        <v>527</v>
      </c>
      <c r="R46" s="5" t="s">
        <v>528</v>
      </c>
    </row>
    <row r="47" customFormat="false" ht="84.75" hidden="false" customHeight="true" outlineLevel="0" collapsed="false">
      <c r="A47" s="5" t="s">
        <v>529</v>
      </c>
      <c r="B47" s="5" t="s">
        <v>530</v>
      </c>
      <c r="C47" s="7" t="s">
        <v>518</v>
      </c>
      <c r="D47" s="5" t="s">
        <v>519</v>
      </c>
      <c r="E47" s="12" t="s">
        <v>38</v>
      </c>
      <c r="F47" s="5" t="s">
        <v>39</v>
      </c>
      <c r="G47" s="5" t="s">
        <v>24</v>
      </c>
      <c r="H47" s="8" t="s">
        <v>25</v>
      </c>
      <c r="I47" s="5" t="s">
        <v>531</v>
      </c>
      <c r="J47" s="5" t="s">
        <v>532</v>
      </c>
      <c r="K47" s="9" t="s">
        <v>533</v>
      </c>
      <c r="L47" s="5" t="s">
        <v>534</v>
      </c>
      <c r="M47" s="5" t="s">
        <v>535</v>
      </c>
      <c r="N47" s="5" t="s">
        <v>500</v>
      </c>
      <c r="O47" s="5" t="s">
        <v>536</v>
      </c>
      <c r="P47" s="15" t="s">
        <v>537</v>
      </c>
      <c r="Q47" s="11" t="s">
        <v>538</v>
      </c>
      <c r="R47" s="5" t="s">
        <v>539</v>
      </c>
    </row>
    <row r="48" customFormat="false" ht="84.75" hidden="false" customHeight="true" outlineLevel="0" collapsed="false">
      <c r="A48" s="5" t="s">
        <v>540</v>
      </c>
      <c r="B48" s="5" t="s">
        <v>541</v>
      </c>
      <c r="C48" s="7" t="s">
        <v>518</v>
      </c>
      <c r="D48" s="5" t="s">
        <v>519</v>
      </c>
      <c r="E48" s="12" t="s">
        <v>38</v>
      </c>
      <c r="F48" s="5" t="s">
        <v>39</v>
      </c>
      <c r="G48" s="5" t="s">
        <v>103</v>
      </c>
      <c r="H48" s="14" t="s">
        <v>104</v>
      </c>
      <c r="I48" s="5" t="s">
        <v>542</v>
      </c>
      <c r="J48" s="5" t="s">
        <v>543</v>
      </c>
      <c r="K48" s="5"/>
      <c r="L48" s="5" t="s">
        <v>544</v>
      </c>
      <c r="M48" s="5" t="s">
        <v>535</v>
      </c>
      <c r="N48" s="5" t="s">
        <v>500</v>
      </c>
      <c r="O48" s="5" t="s">
        <v>545</v>
      </c>
      <c r="P48" s="10" t="s">
        <v>546</v>
      </c>
      <c r="Q48" s="11" t="s">
        <v>547</v>
      </c>
      <c r="R48" s="5" t="s">
        <v>504</v>
      </c>
    </row>
    <row r="49" customFormat="false" ht="84.75" hidden="false" customHeight="true" outlineLevel="0" collapsed="false">
      <c r="A49" s="5" t="s">
        <v>548</v>
      </c>
      <c r="B49" s="5" t="s">
        <v>549</v>
      </c>
      <c r="C49" s="18" t="s">
        <v>550</v>
      </c>
      <c r="D49" s="5" t="s">
        <v>551</v>
      </c>
      <c r="E49" s="12" t="s">
        <v>38</v>
      </c>
      <c r="F49" s="5" t="s">
        <v>39</v>
      </c>
      <c r="G49" s="5" t="s">
        <v>552</v>
      </c>
      <c r="H49" s="13" t="s">
        <v>52</v>
      </c>
      <c r="I49" s="5" t="s">
        <v>553</v>
      </c>
      <c r="J49" s="5" t="s">
        <v>554</v>
      </c>
      <c r="K49" s="9" t="s">
        <v>555</v>
      </c>
      <c r="L49" s="5" t="s">
        <v>94</v>
      </c>
      <c r="M49" s="5" t="s">
        <v>556</v>
      </c>
      <c r="N49" s="5" t="s">
        <v>557</v>
      </c>
      <c r="O49" s="5" t="s">
        <v>558</v>
      </c>
      <c r="P49" s="10" t="s">
        <v>559</v>
      </c>
      <c r="Q49" s="11" t="s">
        <v>560</v>
      </c>
      <c r="R49" s="5" t="s">
        <v>561</v>
      </c>
    </row>
    <row r="50" customFormat="false" ht="84.75" hidden="false" customHeight="true" outlineLevel="0" collapsed="false">
      <c r="A50" s="5" t="s">
        <v>562</v>
      </c>
      <c r="B50" s="5" t="s">
        <v>563</v>
      </c>
      <c r="C50" s="18" t="s">
        <v>550</v>
      </c>
      <c r="D50" s="5" t="s">
        <v>551</v>
      </c>
      <c r="E50" s="12" t="s">
        <v>38</v>
      </c>
      <c r="F50" s="5" t="s">
        <v>39</v>
      </c>
      <c r="G50" s="5" t="s">
        <v>552</v>
      </c>
      <c r="H50" s="13" t="s">
        <v>52</v>
      </c>
      <c r="I50" s="5" t="s">
        <v>564</v>
      </c>
      <c r="J50" s="5" t="s">
        <v>565</v>
      </c>
      <c r="K50" s="9" t="s">
        <v>566</v>
      </c>
      <c r="L50" s="5" t="s">
        <v>94</v>
      </c>
      <c r="M50" s="5" t="s">
        <v>567</v>
      </c>
      <c r="N50" s="5" t="s">
        <v>557</v>
      </c>
      <c r="O50" s="5" t="s">
        <v>568</v>
      </c>
      <c r="P50" s="10" t="s">
        <v>569</v>
      </c>
      <c r="Q50" s="11" t="s">
        <v>570</v>
      </c>
      <c r="R50" s="5" t="s">
        <v>571</v>
      </c>
    </row>
    <row r="51" customFormat="false" ht="84.75" hidden="false" customHeight="true" outlineLevel="0" collapsed="false">
      <c r="A51" s="5" t="s">
        <v>572</v>
      </c>
      <c r="B51" s="5" t="s">
        <v>573</v>
      </c>
      <c r="C51" s="18" t="s">
        <v>550</v>
      </c>
      <c r="D51" s="5" t="s">
        <v>551</v>
      </c>
      <c r="E51" s="12" t="s">
        <v>38</v>
      </c>
      <c r="F51" s="5" t="s">
        <v>39</v>
      </c>
      <c r="G51" s="5" t="s">
        <v>552</v>
      </c>
      <c r="H51" s="8" t="s">
        <v>25</v>
      </c>
      <c r="I51" s="5" t="s">
        <v>574</v>
      </c>
      <c r="J51" s="5" t="s">
        <v>575</v>
      </c>
      <c r="K51" s="9" t="s">
        <v>576</v>
      </c>
      <c r="L51" s="5" t="s">
        <v>94</v>
      </c>
      <c r="M51" s="5" t="s">
        <v>577</v>
      </c>
      <c r="N51" s="5" t="s">
        <v>96</v>
      </c>
      <c r="O51" s="5" t="s">
        <v>578</v>
      </c>
      <c r="P51" s="10" t="s">
        <v>579</v>
      </c>
      <c r="Q51" s="11" t="s">
        <v>580</v>
      </c>
      <c r="R51" s="5" t="s">
        <v>581</v>
      </c>
    </row>
    <row r="52" customFormat="false" ht="84.75" hidden="false" customHeight="true" outlineLevel="0" collapsed="false">
      <c r="A52" s="5" t="s">
        <v>582</v>
      </c>
      <c r="B52" s="5" t="s">
        <v>583</v>
      </c>
      <c r="C52" s="18" t="s">
        <v>550</v>
      </c>
      <c r="D52" s="5" t="s">
        <v>551</v>
      </c>
      <c r="E52" s="12" t="s">
        <v>38</v>
      </c>
      <c r="F52" s="5" t="s">
        <v>39</v>
      </c>
      <c r="G52" s="5" t="s">
        <v>552</v>
      </c>
      <c r="H52" s="8" t="s">
        <v>25</v>
      </c>
      <c r="I52" s="5" t="s">
        <v>584</v>
      </c>
      <c r="J52" s="5" t="s">
        <v>585</v>
      </c>
      <c r="K52" s="9" t="s">
        <v>586</v>
      </c>
      <c r="L52" s="5" t="s">
        <v>587</v>
      </c>
      <c r="M52" s="5" t="s">
        <v>588</v>
      </c>
      <c r="N52" s="5" t="s">
        <v>96</v>
      </c>
      <c r="O52" s="5" t="s">
        <v>589</v>
      </c>
      <c r="P52" s="10" t="s">
        <v>590</v>
      </c>
      <c r="Q52" s="11" t="s">
        <v>591</v>
      </c>
      <c r="R52" s="5" t="s">
        <v>504</v>
      </c>
    </row>
    <row r="53" customFormat="false" ht="84.75" hidden="false" customHeight="true" outlineLevel="0" collapsed="false">
      <c r="A53" s="5" t="s">
        <v>592</v>
      </c>
      <c r="B53" s="5" t="s">
        <v>593</v>
      </c>
      <c r="C53" s="18" t="s">
        <v>550</v>
      </c>
      <c r="D53" s="5" t="s">
        <v>551</v>
      </c>
      <c r="E53" s="12" t="s">
        <v>38</v>
      </c>
      <c r="F53" s="5" t="s">
        <v>39</v>
      </c>
      <c r="G53" s="5" t="s">
        <v>552</v>
      </c>
      <c r="H53" s="8" t="s">
        <v>25</v>
      </c>
      <c r="I53" s="5" t="s">
        <v>594</v>
      </c>
      <c r="J53" s="5" t="s">
        <v>595</v>
      </c>
      <c r="K53" s="9" t="s">
        <v>596</v>
      </c>
      <c r="L53" s="5" t="s">
        <v>94</v>
      </c>
      <c r="M53" s="5" t="s">
        <v>556</v>
      </c>
      <c r="N53" s="5" t="s">
        <v>557</v>
      </c>
      <c r="O53" s="5" t="s">
        <v>558</v>
      </c>
      <c r="P53" s="10" t="s">
        <v>597</v>
      </c>
      <c r="Q53" s="11" t="s">
        <v>598</v>
      </c>
      <c r="R53" s="5" t="s">
        <v>599</v>
      </c>
    </row>
    <row r="54" customFormat="false" ht="84.75" hidden="false" customHeight="true" outlineLevel="0" collapsed="false">
      <c r="A54" s="5" t="s">
        <v>600</v>
      </c>
      <c r="B54" s="5" t="s">
        <v>601</v>
      </c>
      <c r="C54" s="18" t="s">
        <v>550</v>
      </c>
      <c r="D54" s="5" t="s">
        <v>551</v>
      </c>
      <c r="E54" s="14" t="s">
        <v>65</v>
      </c>
      <c r="F54" s="5" t="s">
        <v>66</v>
      </c>
      <c r="G54" s="5" t="s">
        <v>552</v>
      </c>
      <c r="H54" s="13" t="s">
        <v>52</v>
      </c>
      <c r="I54" s="5" t="s">
        <v>602</v>
      </c>
      <c r="J54" s="5" t="s">
        <v>603</v>
      </c>
      <c r="K54" s="9" t="s">
        <v>604</v>
      </c>
      <c r="L54" s="5" t="s">
        <v>94</v>
      </c>
      <c r="M54" s="5" t="s">
        <v>556</v>
      </c>
      <c r="N54" s="5" t="s">
        <v>557</v>
      </c>
      <c r="O54" s="5" t="s">
        <v>605</v>
      </c>
      <c r="P54" s="10" t="s">
        <v>606</v>
      </c>
      <c r="Q54" s="11" t="s">
        <v>607</v>
      </c>
      <c r="R54" s="5" t="s">
        <v>561</v>
      </c>
    </row>
    <row r="55" customFormat="false" ht="84.75" hidden="false" customHeight="true" outlineLevel="0" collapsed="false">
      <c r="A55" s="5" t="s">
        <v>608</v>
      </c>
      <c r="B55" s="5" t="s">
        <v>609</v>
      </c>
      <c r="C55" s="18" t="s">
        <v>550</v>
      </c>
      <c r="D55" s="5" t="s">
        <v>610</v>
      </c>
      <c r="E55" s="12" t="s">
        <v>38</v>
      </c>
      <c r="F55" s="5" t="s">
        <v>39</v>
      </c>
      <c r="G55" s="5" t="s">
        <v>552</v>
      </c>
      <c r="H55" s="8" t="s">
        <v>25</v>
      </c>
      <c r="I55" s="5" t="s">
        <v>611</v>
      </c>
      <c r="J55" s="5" t="s">
        <v>612</v>
      </c>
      <c r="K55" s="9" t="s">
        <v>613</v>
      </c>
      <c r="L55" s="5" t="s">
        <v>56</v>
      </c>
      <c r="M55" s="5" t="s">
        <v>556</v>
      </c>
      <c r="N55" s="5" t="s">
        <v>557</v>
      </c>
      <c r="O55" s="5" t="s">
        <v>614</v>
      </c>
      <c r="P55" s="10" t="s">
        <v>615</v>
      </c>
      <c r="Q55" s="11" t="s">
        <v>616</v>
      </c>
      <c r="R55" s="5" t="s">
        <v>617</v>
      </c>
    </row>
    <row r="56" customFormat="false" ht="84.75" hidden="false" customHeight="true" outlineLevel="0" collapsed="false">
      <c r="A56" s="5" t="s">
        <v>618</v>
      </c>
      <c r="B56" s="5" t="s">
        <v>619</v>
      </c>
      <c r="C56" s="18" t="s">
        <v>550</v>
      </c>
      <c r="D56" s="5" t="s">
        <v>610</v>
      </c>
      <c r="E56" s="12" t="s">
        <v>38</v>
      </c>
      <c r="F56" s="5" t="s">
        <v>39</v>
      </c>
      <c r="G56" s="5" t="s">
        <v>552</v>
      </c>
      <c r="H56" s="8" t="s">
        <v>25</v>
      </c>
      <c r="I56" s="5" t="s">
        <v>620</v>
      </c>
      <c r="J56" s="5" t="s">
        <v>621</v>
      </c>
      <c r="K56" s="9" t="s">
        <v>622</v>
      </c>
      <c r="L56" s="5" t="s">
        <v>129</v>
      </c>
      <c r="M56" s="5" t="s">
        <v>623</v>
      </c>
      <c r="N56" s="5" t="s">
        <v>557</v>
      </c>
      <c r="O56" s="5" t="s">
        <v>624</v>
      </c>
      <c r="P56" s="10" t="s">
        <v>625</v>
      </c>
      <c r="Q56" s="11" t="s">
        <v>626</v>
      </c>
      <c r="R56" s="5" t="s">
        <v>627</v>
      </c>
    </row>
    <row r="57" customFormat="false" ht="84.75" hidden="false" customHeight="true" outlineLevel="0" collapsed="false">
      <c r="A57" s="5" t="s">
        <v>628</v>
      </c>
      <c r="B57" s="5" t="s">
        <v>629</v>
      </c>
      <c r="C57" s="18" t="s">
        <v>550</v>
      </c>
      <c r="D57" s="5" t="s">
        <v>630</v>
      </c>
      <c r="E57" s="7" t="s">
        <v>22</v>
      </c>
      <c r="F57" s="5" t="s">
        <v>23</v>
      </c>
      <c r="G57" s="5" t="s">
        <v>552</v>
      </c>
      <c r="H57" s="8" t="s">
        <v>25</v>
      </c>
      <c r="I57" s="5" t="s">
        <v>631</v>
      </c>
      <c r="J57" s="5" t="s">
        <v>632</v>
      </c>
      <c r="K57" s="9" t="s">
        <v>633</v>
      </c>
      <c r="L57" s="5" t="s">
        <v>210</v>
      </c>
      <c r="M57" s="5" t="s">
        <v>253</v>
      </c>
      <c r="N57" s="5" t="s">
        <v>212</v>
      </c>
      <c r="O57" s="5" t="s">
        <v>634</v>
      </c>
      <c r="P57" s="15" t="s">
        <v>635</v>
      </c>
      <c r="Q57" s="11" t="s">
        <v>636</v>
      </c>
      <c r="R57" s="5" t="s">
        <v>257</v>
      </c>
    </row>
    <row r="58" customFormat="false" ht="84.75" hidden="false" customHeight="true" outlineLevel="0" collapsed="false">
      <c r="A58" s="5" t="s">
        <v>637</v>
      </c>
      <c r="B58" s="5" t="s">
        <v>638</v>
      </c>
      <c r="C58" s="18" t="s">
        <v>550</v>
      </c>
      <c r="D58" s="5" t="s">
        <v>630</v>
      </c>
      <c r="E58" s="12" t="s">
        <v>38</v>
      </c>
      <c r="F58" s="5" t="s">
        <v>39</v>
      </c>
      <c r="G58" s="5" t="s">
        <v>552</v>
      </c>
      <c r="H58" s="8" t="s">
        <v>25</v>
      </c>
      <c r="I58" s="5" t="s">
        <v>639</v>
      </c>
      <c r="J58" s="5" t="s">
        <v>640</v>
      </c>
      <c r="K58" s="9" t="s">
        <v>641</v>
      </c>
      <c r="L58" s="5" t="s">
        <v>210</v>
      </c>
      <c r="M58" s="5" t="s">
        <v>280</v>
      </c>
      <c r="N58" s="5" t="s">
        <v>212</v>
      </c>
      <c r="O58" s="5" t="s">
        <v>281</v>
      </c>
      <c r="P58" s="10" t="s">
        <v>642</v>
      </c>
      <c r="Q58" s="11" t="s">
        <v>643</v>
      </c>
      <c r="R58" s="5" t="s">
        <v>284</v>
      </c>
    </row>
    <row r="59" customFormat="false" ht="84.75" hidden="false" customHeight="true" outlineLevel="0" collapsed="false">
      <c r="A59" s="5" t="s">
        <v>644</v>
      </c>
      <c r="B59" s="5" t="s">
        <v>645</v>
      </c>
      <c r="C59" s="18" t="s">
        <v>550</v>
      </c>
      <c r="D59" s="5" t="s">
        <v>646</v>
      </c>
      <c r="E59" s="12" t="s">
        <v>38</v>
      </c>
      <c r="F59" s="5" t="s">
        <v>39</v>
      </c>
      <c r="G59" s="5" t="s">
        <v>552</v>
      </c>
      <c r="H59" s="8" t="s">
        <v>25</v>
      </c>
      <c r="I59" s="5" t="s">
        <v>647</v>
      </c>
      <c r="J59" s="5" t="s">
        <v>648</v>
      </c>
      <c r="K59" s="9" t="s">
        <v>649</v>
      </c>
      <c r="L59" s="5" t="s">
        <v>222</v>
      </c>
      <c r="M59" s="5" t="s">
        <v>376</v>
      </c>
      <c r="N59" s="5" t="s">
        <v>377</v>
      </c>
      <c r="O59" s="5" t="s">
        <v>650</v>
      </c>
      <c r="P59" s="10" t="s">
        <v>651</v>
      </c>
      <c r="Q59" s="11" t="s">
        <v>652</v>
      </c>
      <c r="R59" s="5" t="s">
        <v>381</v>
      </c>
    </row>
    <row r="60" customFormat="false" ht="84.75" hidden="false" customHeight="true" outlineLevel="0" collapsed="false">
      <c r="A60" s="5" t="s">
        <v>653</v>
      </c>
      <c r="B60" s="5" t="s">
        <v>654</v>
      </c>
      <c r="C60" s="18" t="s">
        <v>550</v>
      </c>
      <c r="D60" s="5" t="s">
        <v>646</v>
      </c>
      <c r="E60" s="12" t="s">
        <v>38</v>
      </c>
      <c r="F60" s="5" t="s">
        <v>39</v>
      </c>
      <c r="G60" s="5" t="s">
        <v>552</v>
      </c>
      <c r="H60" s="13" t="s">
        <v>52</v>
      </c>
      <c r="I60" s="5" t="s">
        <v>655</v>
      </c>
      <c r="J60" s="5" t="s">
        <v>656</v>
      </c>
      <c r="K60" s="9" t="s">
        <v>657</v>
      </c>
      <c r="L60" s="5" t="s">
        <v>56</v>
      </c>
      <c r="M60" s="5" t="s">
        <v>556</v>
      </c>
      <c r="N60" s="5" t="s">
        <v>557</v>
      </c>
      <c r="O60" s="5" t="s">
        <v>558</v>
      </c>
      <c r="P60" s="10" t="s">
        <v>658</v>
      </c>
      <c r="Q60" s="11" t="s">
        <v>659</v>
      </c>
      <c r="R60" s="5" t="s">
        <v>660</v>
      </c>
    </row>
    <row r="61" customFormat="false" ht="84.75" hidden="false" customHeight="true" outlineLevel="0" collapsed="false">
      <c r="A61" s="5" t="s">
        <v>661</v>
      </c>
      <c r="B61" s="5" t="s">
        <v>662</v>
      </c>
      <c r="C61" s="18" t="s">
        <v>550</v>
      </c>
      <c r="D61" s="5" t="s">
        <v>646</v>
      </c>
      <c r="E61" s="14" t="s">
        <v>65</v>
      </c>
      <c r="F61" s="5" t="s">
        <v>66</v>
      </c>
      <c r="G61" s="5" t="s">
        <v>552</v>
      </c>
      <c r="H61" s="13" t="s">
        <v>52</v>
      </c>
      <c r="I61" s="5" t="s">
        <v>663</v>
      </c>
      <c r="J61" s="5" t="s">
        <v>664</v>
      </c>
      <c r="K61" s="9" t="s">
        <v>665</v>
      </c>
      <c r="L61" s="5" t="s">
        <v>56</v>
      </c>
      <c r="M61" s="5" t="s">
        <v>556</v>
      </c>
      <c r="N61" s="5" t="s">
        <v>557</v>
      </c>
      <c r="O61" s="5" t="s">
        <v>558</v>
      </c>
      <c r="P61" s="10" t="s">
        <v>666</v>
      </c>
      <c r="Q61" s="11" t="s">
        <v>667</v>
      </c>
      <c r="R61" s="5" t="s">
        <v>668</v>
      </c>
    </row>
    <row r="62" customFormat="false" ht="84.75" hidden="false" customHeight="true" outlineLevel="0" collapsed="false">
      <c r="A62" s="5" t="s">
        <v>669</v>
      </c>
      <c r="B62" s="5" t="s">
        <v>670</v>
      </c>
      <c r="C62" s="18" t="s">
        <v>550</v>
      </c>
      <c r="D62" s="5" t="s">
        <v>646</v>
      </c>
      <c r="E62" s="7" t="s">
        <v>22</v>
      </c>
      <c r="F62" s="5" t="s">
        <v>23</v>
      </c>
      <c r="G62" s="5" t="s">
        <v>552</v>
      </c>
      <c r="H62" s="8" t="s">
        <v>25</v>
      </c>
      <c r="I62" s="5" t="s">
        <v>671</v>
      </c>
      <c r="J62" s="5" t="s">
        <v>672</v>
      </c>
      <c r="K62" s="9" t="s">
        <v>673</v>
      </c>
      <c r="L62" s="5" t="s">
        <v>222</v>
      </c>
      <c r="M62" s="5" t="s">
        <v>674</v>
      </c>
      <c r="N62" s="5" t="s">
        <v>557</v>
      </c>
      <c r="O62" s="5" t="s">
        <v>675</v>
      </c>
      <c r="P62" s="10" t="s">
        <v>676</v>
      </c>
      <c r="Q62" s="11" t="s">
        <v>677</v>
      </c>
      <c r="R62" s="5" t="s">
        <v>678</v>
      </c>
    </row>
    <row r="63" customFormat="false" ht="84.75" hidden="false" customHeight="true" outlineLevel="0" collapsed="false">
      <c r="A63" s="5" t="s">
        <v>679</v>
      </c>
      <c r="B63" s="5" t="s">
        <v>680</v>
      </c>
      <c r="C63" s="18" t="s">
        <v>550</v>
      </c>
      <c r="D63" s="5" t="s">
        <v>681</v>
      </c>
      <c r="E63" s="7" t="s">
        <v>22</v>
      </c>
      <c r="F63" s="5" t="s">
        <v>23</v>
      </c>
      <c r="G63" s="5" t="s">
        <v>552</v>
      </c>
      <c r="H63" s="8" t="s">
        <v>25</v>
      </c>
      <c r="I63" s="5" t="s">
        <v>682</v>
      </c>
      <c r="J63" s="5" t="s">
        <v>683</v>
      </c>
      <c r="K63" s="9" t="s">
        <v>684</v>
      </c>
      <c r="L63" s="5" t="s">
        <v>473</v>
      </c>
      <c r="M63" s="5" t="s">
        <v>685</v>
      </c>
      <c r="N63" s="5" t="s">
        <v>475</v>
      </c>
      <c r="O63" s="5" t="s">
        <v>686</v>
      </c>
      <c r="P63" s="15" t="s">
        <v>687</v>
      </c>
      <c r="Q63" s="11" t="s">
        <v>688</v>
      </c>
      <c r="R63" s="5" t="s">
        <v>689</v>
      </c>
    </row>
    <row r="64" customFormat="false" ht="84.75" hidden="false" customHeight="true" outlineLevel="0" collapsed="false">
      <c r="A64" s="5" t="s">
        <v>690</v>
      </c>
      <c r="B64" s="5" t="s">
        <v>691</v>
      </c>
      <c r="C64" s="18" t="s">
        <v>550</v>
      </c>
      <c r="D64" s="5" t="s">
        <v>681</v>
      </c>
      <c r="E64" s="12" t="s">
        <v>38</v>
      </c>
      <c r="F64" s="5" t="s">
        <v>39</v>
      </c>
      <c r="G64" s="5" t="s">
        <v>552</v>
      </c>
      <c r="H64" s="13" t="s">
        <v>52</v>
      </c>
      <c r="I64" s="5" t="s">
        <v>692</v>
      </c>
      <c r="J64" s="5" t="s">
        <v>693</v>
      </c>
      <c r="K64" s="9" t="s">
        <v>694</v>
      </c>
      <c r="L64" s="5" t="s">
        <v>222</v>
      </c>
      <c r="M64" s="5" t="s">
        <v>695</v>
      </c>
      <c r="N64" s="5" t="s">
        <v>177</v>
      </c>
      <c r="O64" s="5" t="s">
        <v>696</v>
      </c>
      <c r="P64" s="10" t="s">
        <v>697</v>
      </c>
      <c r="Q64" s="11" t="s">
        <v>698</v>
      </c>
      <c r="R64" s="5" t="s">
        <v>699</v>
      </c>
    </row>
    <row r="65" customFormat="false" ht="84.75" hidden="false" customHeight="true" outlineLevel="0" collapsed="false">
      <c r="A65" s="5" t="s">
        <v>700</v>
      </c>
      <c r="B65" s="5" t="s">
        <v>701</v>
      </c>
      <c r="C65" s="18" t="s">
        <v>550</v>
      </c>
      <c r="D65" s="5" t="s">
        <v>681</v>
      </c>
      <c r="E65" s="12" t="s">
        <v>38</v>
      </c>
      <c r="F65" s="5" t="s">
        <v>39</v>
      </c>
      <c r="G65" s="5" t="s">
        <v>702</v>
      </c>
      <c r="H65" s="14" t="s">
        <v>104</v>
      </c>
      <c r="I65" s="5" t="s">
        <v>703</v>
      </c>
      <c r="J65" s="5" t="s">
        <v>704</v>
      </c>
      <c r="K65" s="5"/>
      <c r="L65" s="5" t="s">
        <v>705</v>
      </c>
      <c r="M65" s="5" t="s">
        <v>176</v>
      </c>
      <c r="N65" s="5" t="s">
        <v>557</v>
      </c>
      <c r="O65" s="5" t="s">
        <v>706</v>
      </c>
      <c r="P65" s="10" t="s">
        <v>707</v>
      </c>
      <c r="Q65" s="11" t="s">
        <v>708</v>
      </c>
      <c r="R65" s="5" t="s">
        <v>709</v>
      </c>
    </row>
    <row r="66" customFormat="false" ht="84.75" hidden="false" customHeight="true" outlineLevel="0" collapsed="false">
      <c r="A66" s="5" t="s">
        <v>710</v>
      </c>
      <c r="B66" s="5" t="s">
        <v>711</v>
      </c>
      <c r="C66" s="18" t="s">
        <v>550</v>
      </c>
      <c r="D66" s="5" t="s">
        <v>681</v>
      </c>
      <c r="E66" s="12" t="s">
        <v>38</v>
      </c>
      <c r="F66" s="5" t="s">
        <v>39</v>
      </c>
      <c r="G66" s="5" t="s">
        <v>552</v>
      </c>
      <c r="H66" s="14" t="s">
        <v>104</v>
      </c>
      <c r="I66" s="5" t="s">
        <v>712</v>
      </c>
      <c r="J66" s="5" t="s">
        <v>713</v>
      </c>
      <c r="K66" s="5"/>
      <c r="L66" s="5" t="s">
        <v>175</v>
      </c>
      <c r="M66" s="5" t="s">
        <v>189</v>
      </c>
      <c r="N66" s="5" t="s">
        <v>557</v>
      </c>
      <c r="O66" s="5" t="s">
        <v>190</v>
      </c>
      <c r="P66" s="10" t="s">
        <v>714</v>
      </c>
      <c r="Q66" s="11" t="s">
        <v>715</v>
      </c>
      <c r="R66" s="5" t="s">
        <v>716</v>
      </c>
    </row>
    <row r="67" customFormat="false" ht="99.75" hidden="false" customHeight="true" outlineLevel="0" collapsed="false">
      <c r="A67" s="5" t="s">
        <v>717</v>
      </c>
      <c r="B67" s="5" t="s">
        <v>718</v>
      </c>
      <c r="C67" s="12" t="s">
        <v>719</v>
      </c>
      <c r="D67" s="5" t="s">
        <v>720</v>
      </c>
      <c r="E67" s="12" t="s">
        <v>38</v>
      </c>
      <c r="F67" s="5" t="s">
        <v>39</v>
      </c>
      <c r="G67" s="5" t="s">
        <v>24</v>
      </c>
      <c r="H67" s="14" t="s">
        <v>104</v>
      </c>
      <c r="I67" s="5" t="s">
        <v>721</v>
      </c>
      <c r="J67" s="5" t="s">
        <v>722</v>
      </c>
      <c r="K67" s="5"/>
      <c r="L67" s="5" t="s">
        <v>723</v>
      </c>
      <c r="M67" s="5" t="s">
        <v>724</v>
      </c>
      <c r="N67" s="5" t="s">
        <v>45</v>
      </c>
      <c r="O67" s="5" t="s">
        <v>725</v>
      </c>
      <c r="P67" s="10" t="s">
        <v>726</v>
      </c>
      <c r="Q67" s="11" t="s">
        <v>727</v>
      </c>
      <c r="R67" s="5" t="s">
        <v>728</v>
      </c>
    </row>
    <row r="68" customFormat="false" ht="99.75" hidden="false" customHeight="true" outlineLevel="0" collapsed="false">
      <c r="A68" s="5" t="s">
        <v>729</v>
      </c>
      <c r="B68" s="5" t="s">
        <v>730</v>
      </c>
      <c r="C68" s="12" t="s">
        <v>719</v>
      </c>
      <c r="D68" s="5" t="s">
        <v>720</v>
      </c>
      <c r="E68" s="7" t="s">
        <v>22</v>
      </c>
      <c r="F68" s="5" t="s">
        <v>23</v>
      </c>
      <c r="G68" s="5" t="s">
        <v>24</v>
      </c>
      <c r="H68" s="14" t="s">
        <v>104</v>
      </c>
      <c r="I68" s="5" t="s">
        <v>731</v>
      </c>
      <c r="J68" s="5" t="s">
        <v>732</v>
      </c>
      <c r="K68" s="5"/>
      <c r="L68" s="5" t="s">
        <v>733</v>
      </c>
      <c r="M68" s="5" t="s">
        <v>734</v>
      </c>
      <c r="N68" s="5" t="s">
        <v>131</v>
      </c>
      <c r="O68" s="5" t="s">
        <v>735</v>
      </c>
      <c r="P68" s="10" t="s">
        <v>736</v>
      </c>
      <c r="Q68" s="11" t="s">
        <v>737</v>
      </c>
      <c r="R68" s="5" t="s">
        <v>738</v>
      </c>
    </row>
    <row r="69" customFormat="false" ht="99.75" hidden="false" customHeight="true" outlineLevel="0" collapsed="false">
      <c r="A69" s="5" t="s">
        <v>739</v>
      </c>
      <c r="B69" s="5" t="s">
        <v>740</v>
      </c>
      <c r="C69" s="12" t="s">
        <v>719</v>
      </c>
      <c r="D69" s="5" t="s">
        <v>720</v>
      </c>
      <c r="E69" s="7" t="s">
        <v>22</v>
      </c>
      <c r="F69" s="5" t="s">
        <v>23</v>
      </c>
      <c r="G69" s="5" t="s">
        <v>24</v>
      </c>
      <c r="H69" s="14" t="s">
        <v>104</v>
      </c>
      <c r="I69" s="5" t="s">
        <v>741</v>
      </c>
      <c r="J69" s="5" t="s">
        <v>742</v>
      </c>
      <c r="K69" s="5"/>
      <c r="L69" s="5" t="s">
        <v>743</v>
      </c>
      <c r="M69" s="5" t="s">
        <v>744</v>
      </c>
      <c r="N69" s="5" t="s">
        <v>745</v>
      </c>
      <c r="O69" s="5" t="s">
        <v>746</v>
      </c>
      <c r="P69" s="15" t="s">
        <v>747</v>
      </c>
      <c r="Q69" s="11" t="s">
        <v>748</v>
      </c>
      <c r="R69" s="5" t="s">
        <v>749</v>
      </c>
    </row>
    <row r="70" customFormat="false" ht="99.75" hidden="false" customHeight="true" outlineLevel="0" collapsed="false">
      <c r="A70" s="5" t="s">
        <v>750</v>
      </c>
      <c r="B70" s="5" t="s">
        <v>751</v>
      </c>
      <c r="C70" s="12" t="s">
        <v>719</v>
      </c>
      <c r="D70" s="5" t="s">
        <v>720</v>
      </c>
      <c r="E70" s="12" t="s">
        <v>38</v>
      </c>
      <c r="F70" s="5" t="s">
        <v>39</v>
      </c>
      <c r="G70" s="5" t="s">
        <v>103</v>
      </c>
      <c r="H70" s="14" t="s">
        <v>104</v>
      </c>
      <c r="I70" s="5" t="s">
        <v>752</v>
      </c>
      <c r="J70" s="5" t="s">
        <v>753</v>
      </c>
      <c r="K70" s="5"/>
      <c r="L70" s="5" t="s">
        <v>754</v>
      </c>
      <c r="M70" s="5" t="s">
        <v>755</v>
      </c>
      <c r="N70" s="5" t="s">
        <v>756</v>
      </c>
      <c r="O70" s="5" t="s">
        <v>757</v>
      </c>
      <c r="P70" s="15" t="s">
        <v>758</v>
      </c>
      <c r="Q70" s="11" t="s">
        <v>759</v>
      </c>
      <c r="R70" s="5" t="s">
        <v>111</v>
      </c>
    </row>
    <row r="71" customFormat="false" ht="99.75" hidden="false" customHeight="true" outlineLevel="0" collapsed="false">
      <c r="A71" s="5" t="s">
        <v>760</v>
      </c>
      <c r="B71" s="5" t="s">
        <v>761</v>
      </c>
      <c r="C71" s="12" t="s">
        <v>719</v>
      </c>
      <c r="D71" s="5" t="s">
        <v>720</v>
      </c>
      <c r="E71" s="12" t="s">
        <v>38</v>
      </c>
      <c r="F71" s="5" t="s">
        <v>39</v>
      </c>
      <c r="G71" s="5" t="s">
        <v>24</v>
      </c>
      <c r="H71" s="14" t="s">
        <v>104</v>
      </c>
      <c r="I71" s="5" t="s">
        <v>762</v>
      </c>
      <c r="J71" s="5" t="s">
        <v>763</v>
      </c>
      <c r="K71" s="5"/>
      <c r="L71" s="5" t="s">
        <v>210</v>
      </c>
      <c r="M71" s="5" t="s">
        <v>764</v>
      </c>
      <c r="N71" s="5" t="s">
        <v>212</v>
      </c>
      <c r="O71" s="5" t="s">
        <v>765</v>
      </c>
      <c r="P71" s="15" t="s">
        <v>766</v>
      </c>
      <c r="Q71" s="11" t="s">
        <v>767</v>
      </c>
      <c r="R71" s="5" t="s">
        <v>768</v>
      </c>
    </row>
    <row r="72" customFormat="false" ht="99.75" hidden="false" customHeight="true" outlineLevel="0" collapsed="false">
      <c r="A72" s="5" t="s">
        <v>769</v>
      </c>
      <c r="B72" s="5" t="s">
        <v>770</v>
      </c>
      <c r="C72" s="12" t="s">
        <v>719</v>
      </c>
      <c r="D72" s="5" t="s">
        <v>720</v>
      </c>
      <c r="E72" s="12" t="s">
        <v>38</v>
      </c>
      <c r="F72" s="5" t="s">
        <v>39</v>
      </c>
      <c r="G72" s="5" t="s">
        <v>103</v>
      </c>
      <c r="H72" s="14" t="s">
        <v>104</v>
      </c>
      <c r="I72" s="5" t="s">
        <v>771</v>
      </c>
      <c r="J72" s="5" t="s">
        <v>772</v>
      </c>
      <c r="K72" s="5"/>
      <c r="L72" s="5" t="s">
        <v>773</v>
      </c>
      <c r="M72" s="5" t="s">
        <v>774</v>
      </c>
      <c r="N72" s="5" t="s">
        <v>775</v>
      </c>
      <c r="O72" s="5" t="s">
        <v>776</v>
      </c>
      <c r="P72" s="15" t="s">
        <v>777</v>
      </c>
      <c r="Q72" s="11" t="s">
        <v>778</v>
      </c>
      <c r="R72" s="5" t="s">
        <v>779</v>
      </c>
    </row>
  </sheetData>
  <autoFilter ref="A1:R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2" min="2" style="1" width="15"/>
  </cols>
  <sheetData>
    <row r="1" customFormat="false" ht="15" hidden="false" customHeight="true" outlineLevel="0" collapsed="false">
      <c r="A1" s="19" t="s">
        <v>780</v>
      </c>
      <c r="B1" s="19" t="s">
        <v>781</v>
      </c>
    </row>
    <row r="2" customFormat="false" ht="15" hidden="false" customHeight="true" outlineLevel="0" collapsed="false">
      <c r="A2" s="20" t="s">
        <v>782</v>
      </c>
      <c r="B2" s="20" t="n">
        <f aca="false">COUNTA('Control Register v4'!A2:A200)</f>
        <v>71</v>
      </c>
    </row>
    <row r="3" customFormat="false" ht="15" hidden="false" customHeight="true" outlineLevel="0" collapsed="false">
      <c r="A3" s="20" t="s">
        <v>783</v>
      </c>
      <c r="B3" s="20" t="n">
        <f aca="false">COUNTA('Control Register v4'!A2:A200)-COUNTIF('Control Register v4'!A2:A200,"CLD*")</f>
        <v>53</v>
      </c>
    </row>
    <row r="4" customFormat="false" ht="15" hidden="false" customHeight="true" outlineLevel="0" collapsed="false">
      <c r="A4" s="20" t="s">
        <v>784</v>
      </c>
      <c r="B4" s="20" t="n">
        <f aca="false">COUNTIF('Control Register v4'!A2:A200,"CLD*")</f>
        <v>18</v>
      </c>
    </row>
    <row r="5" customFormat="false" ht="15" hidden="false" customHeight="true" outlineLevel="0" collapsed="false">
      <c r="A5" s="20"/>
      <c r="B5" s="20"/>
    </row>
    <row r="6" customFormat="false" ht="15" hidden="false" customHeight="true" outlineLevel="0" collapsed="false">
      <c r="A6" s="20" t="s">
        <v>785</v>
      </c>
      <c r="B6" s="20" t="n">
        <f aca="false">COUNTIF('Control Register v4'!E2:E200,"P0")</f>
        <v>23</v>
      </c>
    </row>
    <row r="7" customFormat="false" ht="15" hidden="false" customHeight="true" outlineLevel="0" collapsed="false">
      <c r="A7" s="20" t="s">
        <v>786</v>
      </c>
      <c r="B7" s="20" t="n">
        <f aca="false">COUNTIF('Control Register v4'!E2:E200,"P1")</f>
        <v>40</v>
      </c>
    </row>
    <row r="8" customFormat="false" ht="15" hidden="false" customHeight="true" outlineLevel="0" collapsed="false">
      <c r="A8" s="20" t="s">
        <v>787</v>
      </c>
      <c r="B8" s="20" t="n">
        <f aca="false">COUNTIF('Control Register v4'!E2:E200,"P2")</f>
        <v>8</v>
      </c>
    </row>
    <row r="9" customFormat="false" ht="15" hidden="false" customHeight="true" outlineLevel="0" collapsed="false">
      <c r="A9" s="20"/>
      <c r="B9" s="20"/>
    </row>
    <row r="10" customFormat="false" ht="15" hidden="false" customHeight="true" outlineLevel="0" collapsed="false">
      <c r="A10" s="20" t="s">
        <v>788</v>
      </c>
      <c r="B10" s="20" t="n">
        <f aca="false">COUNTIF('Control Register v4'!F2:F200,"1")</f>
        <v>23</v>
      </c>
    </row>
    <row r="11" customFormat="false" ht="15" hidden="false" customHeight="true" outlineLevel="0" collapsed="false">
      <c r="A11" s="20" t="s">
        <v>789</v>
      </c>
      <c r="B11" s="20" t="n">
        <f aca="false">COUNTIF('Control Register v4'!F2:F200,"2")</f>
        <v>40</v>
      </c>
    </row>
    <row r="12" customFormat="false" ht="15" hidden="false" customHeight="true" outlineLevel="0" collapsed="false">
      <c r="A12" s="20" t="s">
        <v>790</v>
      </c>
      <c r="B12" s="20" t="n">
        <f aca="false">COUNTIF('Control Register v4'!F2:F200,"3")</f>
        <v>8</v>
      </c>
    </row>
    <row r="13" customFormat="false" ht="15" hidden="false" customHeight="true" outlineLevel="0" collapsed="false">
      <c r="A13" s="20"/>
      <c r="B13" s="20"/>
    </row>
    <row r="14" customFormat="false" ht="15" hidden="false" customHeight="true" outlineLevel="0" collapsed="false">
      <c r="A14" s="20" t="s">
        <v>791</v>
      </c>
      <c r="B14" s="20" t="n">
        <f aca="false">COUNTIF('Control Register v4'!H2:H200,"New")</f>
        <v>27</v>
      </c>
    </row>
    <row r="15" customFormat="false" ht="15" hidden="false" customHeight="true" outlineLevel="0" collapsed="false">
      <c r="A15" s="20" t="s">
        <v>52</v>
      </c>
      <c r="B15" s="20" t="n">
        <f aca="false">COUNTIF('Control Register v4'!H2:H200,"Retained")</f>
        <v>11</v>
      </c>
    </row>
    <row r="16" customFormat="false" ht="15" hidden="false" customHeight="true" outlineLevel="0" collapsed="false">
      <c r="A16" s="20" t="s">
        <v>25</v>
      </c>
      <c r="B16" s="20" t="n">
        <f aca="false">COUNTIF('Control Register v4'!H2:H200,"Retained &amp; Rephrased")</f>
        <v>26</v>
      </c>
    </row>
    <row r="17" customFormat="false" ht="15" hidden="false" customHeight="true" outlineLevel="0" collapsed="false">
      <c r="A17" s="20" t="s">
        <v>184</v>
      </c>
      <c r="B17" s="20" t="n">
        <f aca="false">COUNTIF('Control Register v4'!H2:H200,"Rephrased")</f>
        <v>7</v>
      </c>
    </row>
    <row r="19" customFormat="false" ht="15" hidden="false" customHeight="true" outlineLevel="0" collapsed="false">
      <c r="A19" s="21" t="s">
        <v>792</v>
      </c>
      <c r="B19" s="21"/>
    </row>
    <row r="20" customFormat="false" ht="15" hidden="false" customHeight="true" outlineLevel="0" collapsed="false">
      <c r="A20" s="20" t="s">
        <v>793</v>
      </c>
      <c r="B20" s="20" t="n">
        <f aca="false">COUNTIF('Control Register v4'!P2:P200,"*P1*")</f>
        <v>0</v>
      </c>
    </row>
    <row r="21" customFormat="false" ht="15" hidden="false" customHeight="true" outlineLevel="0" collapsed="false">
      <c r="A21" s="20" t="s">
        <v>794</v>
      </c>
      <c r="B21" s="20" t="n">
        <f aca="false">COUNTIF('Control Register v4'!P2:P200,"*P2*")</f>
        <v>0</v>
      </c>
    </row>
    <row r="22" customFormat="false" ht="15" hidden="false" customHeight="true" outlineLevel="0" collapsed="false">
      <c r="A22" s="20" t="s">
        <v>795</v>
      </c>
      <c r="B22" s="20" t="n">
        <f aca="false">COUNTIF('Control Register v4'!P2:P200,"*P3*")</f>
        <v>0</v>
      </c>
    </row>
    <row r="23" customFormat="false" ht="15" hidden="false" customHeight="true" outlineLevel="0" collapsed="false">
      <c r="A23" s="20" t="s">
        <v>796</v>
      </c>
      <c r="B23" s="20" t="n">
        <f aca="false">COUNTIF('Control Register v4'!P2:P200,"*P4*")</f>
        <v>0</v>
      </c>
    </row>
    <row r="24" customFormat="false" ht="15" hidden="false" customHeight="true" outlineLevel="0" collapsed="false">
      <c r="A24" s="20" t="s">
        <v>797</v>
      </c>
      <c r="B24" s="20" t="n">
        <f aca="false">COUNTIF('Control Register v4'!P2:P200,"*P5*")</f>
        <v>0</v>
      </c>
    </row>
    <row r="25" customFormat="false" ht="15" hidden="false" customHeight="true" outlineLevel="0" collapsed="false">
      <c r="A25" s="20" t="s">
        <v>798</v>
      </c>
      <c r="B25" s="20" t="n">
        <f aca="false">COUNTIF('Control Register v4'!P2:P200,"*P6*")</f>
        <v>0</v>
      </c>
    </row>
    <row r="26" customFormat="false" ht="15" hidden="false" customHeight="true" outlineLevel="0" collapsed="false">
      <c r="A26" s="20" t="s">
        <v>799</v>
      </c>
      <c r="B26" s="20" t="n">
        <f aca="false">COUNTIF('Control Register v4'!P2:P200,"*P7*")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2026-04-07T11:52:45Z</dcterms:created>
  <dc:creator>openpyxl</dc:creator>
  <dc:description/>
  <dc:language>en-US</dc:language>
  <cp:lastModifiedBy/>
  <dcterms:modified xsi:type="dcterms:W3CDTF">2026-06-14T13:41:40Z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